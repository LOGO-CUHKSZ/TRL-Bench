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updateLinks="always" defaultThemeVersion="124226"/>
  <mc:AlternateContent xmlns:mc="http://schemas.openxmlformats.org/markup-compatibility/2006">
    <mc:Choice Requires="x15">
      <x15ac:absPath xmlns:x15ac="http://schemas.microsoft.com/office/spreadsheetml/2010/11/ac" url="C:\Users\xlParse\AppData\Local\Temp\2\"/>
    </mc:Choice>
  </mc:AlternateContent>
  <bookViews>
    <workbookView xWindow="0" yWindow="1560" windowWidth="11400" windowHeight="8655" tabRatio="951"/>
  </bookViews>
  <sheets>
    <sheet name="Title" sheetId="30" r:id="rId1"/>
    <sheet name="Contents" sheetId="29" r:id="rId2"/>
    <sheet name="User Information" sheetId="28" r:id="rId3"/>
    <sheet name="1.1" sheetId="19" r:id="rId4"/>
    <sheet name="1.2" sheetId="2" r:id="rId5"/>
    <sheet name="Figure 2.1 Vehicle Registration" sheetId="24" r:id="rId6"/>
    <sheet name="2.1" sheetId="3" r:id="rId7"/>
    <sheet name="2.2" sheetId="4" r:id="rId8"/>
    <sheet name="2.3" sheetId="5" r:id="rId9"/>
    <sheet name="3.1" sheetId="6" r:id="rId10"/>
    <sheet name="3.2" sheetId="8" r:id="rId11"/>
    <sheet name="4.1" sheetId="9" r:id="rId12"/>
    <sheet name="4.2" sheetId="10" r:id="rId13"/>
    <sheet name="5154" sheetId="20" r:id="rId14"/>
    <sheet name="Figure 5.1 Public Transport" sheetId="25" r:id="rId15"/>
    <sheet name="6.1" sheetId="21" r:id="rId16"/>
    <sheet name="7174" sheetId="22" r:id="rId17"/>
    <sheet name="8186" sheetId="23" r:id="rId18"/>
    <sheet name="Figs 8.1 &amp; 8.2 Driver Testing" sheetId="26" r:id="rId19"/>
    <sheet name="Technical Notes" sheetId="31" r:id="rId20"/>
  </sheets>
  <definedNames>
    <definedName name="_xlnm.Print_Area" localSheetId="4">'1.2'!#REF!</definedName>
    <definedName name="_xlnm.Print_Area" localSheetId="6">'2.1'!#REF!</definedName>
  </definedNames>
  <calcPr calcId="125725"/>
</workbook>
</file>

<file path=xl/calcChain.xml><?xml version="1.0" encoding="utf-8"?>
<calcChain xmlns="http://schemas.openxmlformats.org/spreadsheetml/2006/main">
  <c r="E19" i="21" l="1"/>
  <c r="E18" i="21"/>
  <c r="D15" i="21"/>
  <c r="E15" i="21"/>
  <c r="B15" i="21"/>
  <c r="E14" i="21"/>
  <c r="E13" i="21"/>
  <c r="H66" i="5"/>
  <c r="I66" i="5"/>
  <c r="F64" i="4"/>
</calcChain>
</file>

<file path=xl/sharedStrings.xml><?xml version="1.0" encoding="utf-8"?>
<sst xmlns="http://schemas.openxmlformats.org/spreadsheetml/2006/main" count="1162" uniqueCount="458">
  <si>
    <t>Figure 5.1: Ulsterbus, Metro and NIR Weekly Average Passenger Journeys: Jul-Sep 2011</t>
  </si>
  <si>
    <t>Table 6.1 Deliveries of petrol and diesel for use in Northern Ireland: Jul-Sep 10 to Jul-Sep 11</t>
  </si>
  <si>
    <t>Table 7.1 Road annual vehicle test (MOT) - Motor cars: Jul-Sep 10 to Jul-Sep 11</t>
  </si>
  <si>
    <t>Table 7.2 Road annual vehicle test (MOT) - Motorcycles: Jul-Sep 10 to Jul-Sep 11</t>
  </si>
  <si>
    <t>Table 7.3 Public service vehicles annual vehicle test: Jul-Sep 10 to Jul-Sep 11</t>
  </si>
  <si>
    <t>Table 7.4 Goods vehicles annual vehicle test: Jul-Sep 10 to Jul-Sep 11</t>
  </si>
  <si>
    <t>Table 8.1 Car 'L' driving tests, NI/GB comparison: Jul-Sep 10 to Jul-Sep 11</t>
  </si>
  <si>
    <t>Table 8.2 Touch screen theory tests for private car drivers, NI/GB comparison: Jul-Sep 10 to Jul-Sep 11</t>
  </si>
  <si>
    <t>Table 8.3 Motorcycle 'L' driving tests, NI/GB comparison: Jul-Sep 10 to Jul-Sep 11</t>
  </si>
  <si>
    <t>Table 8.4 Touch screen theory tests for motorcyclists, NI/GB comparison:Jul-Sep 10 to Jul-Sep 11</t>
  </si>
  <si>
    <t>Table 8.5 Large goods vehicle driving tests, NI/GB comparison: Jul-Sep 10 to Jul-Sep 11</t>
  </si>
  <si>
    <t>Table 8.6 Passenger carrying vehicle driving tests, NI/GB comparison: Jul-Sep 10 to Jul-Sep 11</t>
  </si>
  <si>
    <t>Figure 8.1: Car 'L' driving tests. % Pass Rates for Males/Females in NI/GB July to September 2011</t>
  </si>
  <si>
    <t>Figure 8.2: Touch screen theory tests for private car drivers: % Pass Rates for Males/Females in NI/GB July to September 2011</t>
  </si>
  <si>
    <t>Changes since previous publication</t>
  </si>
  <si>
    <t>TECHNICAL NOTES</t>
  </si>
  <si>
    <t>The following symbols are used throughout:</t>
  </si>
  <si>
    <t>Figures produced by statistical methods are rounded to the nearest final digit. There may be a slight discrepancy between the total shown and the sum of the constituent items.</t>
  </si>
  <si>
    <t>Tables 1.1 and 1.2</t>
  </si>
  <si>
    <t>Vehicle Excise Duty was revised in 1995. With effect from July 1995, the tax class ‘Hackney’ has been renamed ‘Bus’. This class includes vehicles with nine or more seats that are used for hire or reward. Vehicles with eight or less seats (including taxis, self-drive and leased vehicles) moved into Private and Light Goods class.</t>
  </si>
  <si>
    <t>Tables 2.2 and 2.3</t>
  </si>
  <si>
    <t xml:space="preserve">Imported cars includes GB, ROI, Continent and other. All New cars and All Used cars will not equal sum of Imports as Imports exclude NI figures.  </t>
  </si>
  <si>
    <t>Tables 5.1 to 5.4</t>
  </si>
  <si>
    <t>Ulsterbus, Metro and NIR operate for accounting purposes, with four 13 week quarters comprising of 8 Periods @ 4 weeks and 4 Periods @ 5 weeks; the actual quarter figures are used.  The quarters in the current publication all cover 13 week periods.  Citybus changed to Metro in February 2005.  Metro integrated Citybus and greater Belfast Ulsterbus services.</t>
  </si>
  <si>
    <t>Table 6.1</t>
  </si>
  <si>
    <t>Tables 7.1 to 7.4</t>
  </si>
  <si>
    <t>The number of tests completed represents the number of full vehicle tests carried out during the quarter.  If the vehicle fails the full test, the owner has 21 days to apply for the vehicle to be retested.  The figure for retests represents the number of these retests that were carried out during the quarter.  Most of the retests in the quarter will be as a result of vehicles failing the full test during the quarter.  However, some of the retests carried out during the current quarter will be as a result of failing the full test in the previous quarter while other retests will not be carried out until the next quarter.  If we assume these largely balance each other out then dividing retests by full tests provides a crude estimate of the test failure rate.  However, this does not take into account multiple failures of the same vehicle and vehicles which do not return to be retested.</t>
  </si>
  <si>
    <t>Most data in this publication are Official Statistics and, as such, will still conform to the key elements of the Code of Practice for Official Statistics although this has not been independently assessed. The data in Chapter 5 'Public Transport' should be viewed as management information rather than Official Statistics, however these data are still of high quality.</t>
  </si>
  <si>
    <r>
      <t xml:space="preserve">       </t>
    </r>
    <r>
      <rPr>
        <b/>
        <u/>
        <sz val="10"/>
        <color indexed="8"/>
        <rFont val="Arial"/>
        <family val="2"/>
      </rPr>
      <t>Jul-Sep 10</t>
    </r>
    <r>
      <rPr>
        <b/>
        <u/>
        <vertAlign val="superscript"/>
        <sz val="10"/>
        <color indexed="8"/>
        <rFont val="Arial"/>
        <family val="2"/>
      </rPr>
      <t>p</t>
    </r>
  </si>
  <si>
    <t>Tables 7.1 and 7.2</t>
  </si>
  <si>
    <t>Table 7.3</t>
  </si>
  <si>
    <t>Table 7.4</t>
  </si>
  <si>
    <t>Heavy Goods vehicles and trailers are tested on the first anniversary of registration. In April 1996 the age at which Light Goods Vehicles are first tested changed from one to three years.</t>
  </si>
  <si>
    <t>Tables 8.2 and 8.4</t>
  </si>
  <si>
    <r>
      <t>Table 8.3</t>
    </r>
    <r>
      <rPr>
        <b/>
        <sz val="12"/>
        <color indexed="12"/>
        <rFont val="Times New Roman"/>
        <family val="1"/>
      </rPr>
      <t xml:space="preserve"> </t>
    </r>
  </si>
  <si>
    <t>Both the current NI and GB motorcycle driving licence test contains 2 test Modules, both of which must be successfully completed to attain the licence. Module 1 is an off the road manoeuvring test which must be successfully passed, before undertaking Module 2 which is the road driving test. When the candidate has successfully completed Module 1, they may undertake Module 2. The 2 Module test was first introduced in NI on the 8 December 2008 and in GB on 27 April 2009.</t>
  </si>
  <si>
    <t>The NI figures in this publication are the Module 1 and Module 2 tests combined i.e. number taking Module 1 tests + number taking Module 2 tests and number passing Module 1 + number passing Module 2.  The GB figures in this publication are based on the Module 2 test (number taking Module 2 tests and number passing Module 2).</t>
  </si>
  <si>
    <t>Produced by:</t>
  </si>
  <si>
    <t>Central Statistics &amp; Research Branch</t>
  </si>
  <si>
    <t>Department for Regional Development</t>
  </si>
  <si>
    <t xml:space="preserve">Clarence Court </t>
  </si>
  <si>
    <t>10-18 Adelaide Street</t>
  </si>
  <si>
    <t xml:space="preserve"> Belfast BT2 8GB</t>
  </si>
  <si>
    <t>For further information please contact:</t>
  </si>
  <si>
    <t>Ailish Flanagan</t>
  </si>
  <si>
    <t>Tel 028 9054 0981</t>
  </si>
  <si>
    <t xml:space="preserve">E-mail: CSRB@drdni.gov.uk </t>
  </si>
  <si>
    <t>Textphone: 028 9054 0642</t>
  </si>
  <si>
    <t>Fax: 028 9054 0782</t>
  </si>
  <si>
    <t>Internet: http://www.drdni.gov.uk/index/statistics.htm</t>
  </si>
  <si>
    <t>Alfa Romeo</t>
  </si>
  <si>
    <t>Audi</t>
  </si>
  <si>
    <t>BMW</t>
  </si>
  <si>
    <t>Data are on the tonnage of petrol and diesel delivered to Northern Ireland from UK sources.  The Department of Energy and Climate Change (DECC) is the source for these data (data are provided by the Economic &amp; Labour Market Statistics Branch of the Department of Finance and Personnel).</t>
  </si>
  <si>
    <t>http://www.decc.gov.uk/</t>
  </si>
  <si>
    <t>There have been no noteworthy changes to the data since the previous publication.  Any minor revisions to previously published figures, for example due to validation processes, have been marked on the appropriate table.</t>
  </si>
  <si>
    <t>Chrysler</t>
  </si>
  <si>
    <t>Citroen</t>
  </si>
  <si>
    <t>Daewoo</t>
  </si>
  <si>
    <t>Daihatsu</t>
  </si>
  <si>
    <t>Daimler</t>
  </si>
  <si>
    <t>Ferrari</t>
  </si>
  <si>
    <t>Fiat</t>
  </si>
  <si>
    <t>Ford</t>
  </si>
  <si>
    <t>Honda</t>
  </si>
  <si>
    <t>Hyundai</t>
  </si>
  <si>
    <t>Isuzu</t>
  </si>
  <si>
    <t>Jaguar</t>
  </si>
  <si>
    <t>Jeep</t>
  </si>
  <si>
    <t>Kia</t>
  </si>
  <si>
    <t>Land Rover</t>
  </si>
  <si>
    <t>Lexus</t>
  </si>
  <si>
    <t>Lotus</t>
  </si>
  <si>
    <t>Maserati</t>
  </si>
  <si>
    <t>Mazda</t>
  </si>
  <si>
    <t>Mercedes</t>
  </si>
  <si>
    <t>MG</t>
  </si>
  <si>
    <t>Mitsubishi</t>
  </si>
  <si>
    <t>Nissan</t>
  </si>
  <si>
    <t>Opel</t>
  </si>
  <si>
    <t>Porsche</t>
  </si>
  <si>
    <t>Proton</t>
  </si>
  <si>
    <t>Renault</t>
  </si>
  <si>
    <t>Rolls Royce</t>
  </si>
  <si>
    <t>Rover</t>
  </si>
  <si>
    <t>Saab</t>
  </si>
  <si>
    <t>Seat</t>
  </si>
  <si>
    <t>Skoda</t>
  </si>
  <si>
    <t>Subaru</t>
  </si>
  <si>
    <t>Suzuki</t>
  </si>
  <si>
    <t>Toyota</t>
  </si>
  <si>
    <t>Vauxhall</t>
  </si>
  <si>
    <t>Volkswagen</t>
  </si>
  <si>
    <t>Volvo</t>
  </si>
  <si>
    <t>Other</t>
  </si>
  <si>
    <t>Make</t>
  </si>
  <si>
    <t>Private Cars</t>
  </si>
  <si>
    <t>New cars exempt - Govt owned</t>
  </si>
  <si>
    <t>New cars exempt - Non govt owned</t>
  </si>
  <si>
    <t>Used cars exempt - Govt owned</t>
  </si>
  <si>
    <t>Used</t>
  </si>
  <si>
    <t>New</t>
  </si>
  <si>
    <t>Austin</t>
  </si>
  <si>
    <t>Carbodies</t>
  </si>
  <si>
    <t>Eunos</t>
  </si>
  <si>
    <t>Ssangyong</t>
  </si>
  <si>
    <t>Triumph</t>
  </si>
  <si>
    <t>Imported from</t>
  </si>
  <si>
    <t>Exempt</t>
  </si>
  <si>
    <t>New (includes exempt and imports)</t>
  </si>
  <si>
    <t>ROI</t>
  </si>
  <si>
    <t>Continent</t>
  </si>
  <si>
    <t>Used cars (includes exempt and imports)</t>
  </si>
  <si>
    <t>Bedford</t>
  </si>
  <si>
    <t>Freight Rover</t>
  </si>
  <si>
    <t>Iveco</t>
  </si>
  <si>
    <t>Iveco-Ford (UK)</t>
  </si>
  <si>
    <t>LDV</t>
  </si>
  <si>
    <t>Leyland</t>
  </si>
  <si>
    <t>Leyland Daf</t>
  </si>
  <si>
    <t>Talbot</t>
  </si>
  <si>
    <t>Tata</t>
  </si>
  <si>
    <t>New (includes imports and exempt)</t>
  </si>
  <si>
    <t>Peugeot</t>
  </si>
  <si>
    <t>All Wheel Drive</t>
  </si>
  <si>
    <t>Case</t>
  </si>
  <si>
    <t>Caterpillar</t>
  </si>
  <si>
    <t>Dennis</t>
  </si>
  <si>
    <t>Dodge</t>
  </si>
  <si>
    <t>ERF</t>
  </si>
  <si>
    <t>Foden</t>
  </si>
  <si>
    <t>Grove Coles</t>
  </si>
  <si>
    <t>Hino</t>
  </si>
  <si>
    <t xml:space="preserve">Iveco-Ford </t>
  </si>
  <si>
    <t>Iveco-Ford (German)</t>
  </si>
  <si>
    <t>Iveco-Ford (Italy)</t>
  </si>
  <si>
    <t>JCB</t>
  </si>
  <si>
    <t>Johnston</t>
  </si>
  <si>
    <t>Kato</t>
  </si>
  <si>
    <t>MAN</t>
  </si>
  <si>
    <t>MAN/VW</t>
  </si>
  <si>
    <t>Manitou</t>
  </si>
  <si>
    <t>Matbro</t>
  </si>
  <si>
    <t>Merlo</t>
  </si>
  <si>
    <t>New Holland</t>
  </si>
  <si>
    <t>Renault (UK)</t>
  </si>
  <si>
    <t>Scania</t>
  </si>
  <si>
    <t>Seddon/Atkinson</t>
  </si>
  <si>
    <t>Thwaites</t>
  </si>
  <si>
    <t>Iveco-Ford</t>
  </si>
  <si>
    <t>Light goods</t>
  </si>
  <si>
    <t>Light goods exempt - Govt owned</t>
  </si>
  <si>
    <t>Light goods exempt - Non govt owned</t>
  </si>
  <si>
    <t>Heavy goods</t>
  </si>
  <si>
    <t>Heavy goods exempt - Govt owned</t>
  </si>
  <si>
    <t>Heavy goods exempt - Non govt owned</t>
  </si>
  <si>
    <t>A short assessment of the data quality of each of the datasets used in the publication has been included in the sections below.</t>
  </si>
  <si>
    <t xml:space="preserve">These data are management information </t>
  </si>
  <si>
    <t>October to December 2010 quarter-Ulsterbus and Metro passenger journeys decreased, while  NIR passenger journeys increased compared to corresponding quarter of 2009. This could be attributed to bad weather in December, when many roads etc were impassable and a number of bus passengers switched to rail services to travel.</t>
  </si>
  <si>
    <t>The % retests figure in Tables 7.1 to 7.4 represents an estimate of the vehicle test failure rate.  It is the total number of retests carried out over the period as a percentage of the total number of full tests.  A retest is carried out if the vehicle fails the full test.  For a full description of the retest data, see Technical Notes on Tables 7.1 to 7.4 (page 28).</t>
  </si>
  <si>
    <r>
      <t>Motorcycle tests changed from a single test to a 2 module test where both modules must be passed (see Technical Notes on Table 8.3, page 29).  This was introduced in NI on 8</t>
    </r>
    <r>
      <rPr>
        <vertAlign val="superscript"/>
        <sz val="12"/>
        <rFont val="Arial"/>
        <family val="2"/>
      </rPr>
      <t>th</t>
    </r>
    <r>
      <rPr>
        <sz val="12"/>
        <rFont val="Arial"/>
        <family val="2"/>
      </rPr>
      <t xml:space="preserve"> December 2008 and in GB on 27</t>
    </r>
    <r>
      <rPr>
        <vertAlign val="superscript"/>
        <sz val="12"/>
        <rFont val="Arial"/>
        <family val="2"/>
      </rPr>
      <t>th</t>
    </r>
    <r>
      <rPr>
        <sz val="12"/>
        <rFont val="Arial"/>
        <family val="2"/>
      </rPr>
      <t xml:space="preserve"> April 2009.</t>
    </r>
  </si>
  <si>
    <t xml:space="preserve"> It is difficult to attribute whether any changes in trend are due to the change in the motorcycle test format or due to other factors. Looking back over the quarters before and after the change in test format, it seems:</t>
  </si>
  <si>
    <r>
      <t>·</t>
    </r>
    <r>
      <rPr>
        <sz val="7"/>
        <color indexed="8"/>
        <rFont val="Times New Roman"/>
        <family val="1"/>
      </rPr>
      <t xml:space="preserve">        </t>
    </r>
    <r>
      <rPr>
        <sz val="12"/>
        <color indexed="8"/>
        <rFont val="Arial"/>
        <family val="2"/>
      </rPr>
      <t xml:space="preserve">In Northern Ireland, the test changes seem to have had little impact on the actual numbers of tests being conducted when comparing the quarters after the test had changed with corresponding quarters.  </t>
    </r>
    <r>
      <rPr>
        <sz val="12"/>
        <rFont val="Arial"/>
        <family val="2"/>
      </rPr>
      <t>The pass rates (which are based on the last 4 quarters’ data) seem to have increased since the introduction of the new 2 module test in December 2008, particulary over the 2009 to 2010 period.  However, a similar trend can be seen in the equivalent car driving test pass rates (where there has been no change to the test).  It is therefore unclear whether this represents an increase caused by changes to the motorcycle test or represents a general trend in driving test pass rates.  If separate data on each test module can be obtained this may shed further light on the issue.</t>
    </r>
  </si>
  <si>
    <r>
      <t>·</t>
    </r>
    <r>
      <rPr>
        <sz val="7"/>
        <color indexed="8"/>
        <rFont val="Times New Roman"/>
        <family val="1"/>
      </rPr>
      <t xml:space="preserve">        </t>
    </r>
    <r>
      <rPr>
        <sz val="12"/>
        <color indexed="8"/>
        <rFont val="Arial"/>
        <family val="2"/>
      </rPr>
      <t>In Great Britain, since the test changes only Module 2 tests are reported.  Module 2 can only be taken once Module 1 has been passed.  It could also be argued that, compared to a person never previously tested, a person who has already passed Module 1 has demonstrated a higher level of competence and hence is more likely to pass Module 2.  It is possible that this is partially responsible for the observed small increase in pass rates</t>
    </r>
    <r>
      <rPr>
        <sz val="12"/>
        <rFont val="Arial"/>
        <family val="2"/>
      </rPr>
      <t xml:space="preserve"> </t>
    </r>
    <r>
      <rPr>
        <sz val="12"/>
        <color indexed="8"/>
        <rFont val="Arial"/>
        <family val="2"/>
      </rPr>
      <t>since the introduction of the new 2 module test in April 2009.  Note that pass rates</t>
    </r>
    <r>
      <rPr>
        <sz val="12"/>
        <rFont val="Arial"/>
        <family val="2"/>
      </rPr>
      <t xml:space="preserve"> are based on the last 4 quarters’ data</t>
    </r>
    <r>
      <rPr>
        <sz val="12"/>
        <color indexed="8"/>
        <rFont val="Arial"/>
        <family val="2"/>
      </rPr>
      <t xml:space="preserve">.  However, as with Northern Ireland, a similar trend can be noted in the equivalent car driving test pass rates (where there has been no change to the test) and therefore this may be just a general trend in driving test pass rates over the time period. </t>
    </r>
  </si>
  <si>
    <t xml:space="preserve">Touch Screen theory tests began on 1 January 2000. The Hazard Perception Element was introduced on 6 January 2003. Currently, for the multiple choice element, candidates have just under 1 hour to answer 50 multiple choice questions. To pass they must get 43 answers correct.  The hazard perception element consists of 14 video clips lasting approximately 1 minute (15 hazards to identify in total).  The pass mark is 44 out of 75.  Both the multiple choice and hazard perception elements must be passed.  From 6 April 2003 an amendment to the motor vehicles (driving licenses) regulation (NI) 1996 means that those wishing to take a practical motorcycle test will have to pass the relevant theory test regardless if they currently hold a full driving licence. </t>
  </si>
  <si>
    <t>Tractors</t>
  </si>
  <si>
    <t>Tractors exempt - Govt owned</t>
  </si>
  <si>
    <t>Tractors exempt - Non govt owned</t>
  </si>
  <si>
    <t>Motorcycles</t>
  </si>
  <si>
    <t>Motorcycles exempt - Govt owned</t>
  </si>
  <si>
    <t>Motorcycles exempt - Non govt owned</t>
  </si>
  <si>
    <t>NI</t>
  </si>
  <si>
    <t>GB</t>
  </si>
  <si>
    <t>Mini</t>
  </si>
  <si>
    <t>Used (includes imports and exempt)</t>
  </si>
  <si>
    <t>Imported during
quarter from</t>
  </si>
  <si>
    <t>General Haulage and Special Types</t>
  </si>
  <si>
    <t>.</t>
  </si>
  <si>
    <t xml:space="preserve">New cars </t>
  </si>
  <si>
    <t xml:space="preserve">Used cars </t>
  </si>
  <si>
    <t xml:space="preserve"> </t>
  </si>
  <si>
    <t xml:space="preserve">    </t>
  </si>
  <si>
    <t>Millions</t>
  </si>
  <si>
    <t>Passenger journeys</t>
  </si>
  <si>
    <t>Weekly average</t>
  </si>
  <si>
    <t>Bus miles</t>
  </si>
  <si>
    <t>Source: Translink</t>
  </si>
  <si>
    <t xml:space="preserve">        </t>
  </si>
  <si>
    <t>Passenger miles</t>
  </si>
  <si>
    <t xml:space="preserve">       </t>
  </si>
  <si>
    <t>Tonnes</t>
  </si>
  <si>
    <t>%</t>
  </si>
  <si>
    <t xml:space="preserve">         </t>
  </si>
  <si>
    <t>Retests</t>
  </si>
  <si>
    <t xml:space="preserve">          </t>
  </si>
  <si>
    <t xml:space="preserve">  </t>
  </si>
  <si>
    <t>Most of Translink’s quarters are based on a 13 week period and therefore the weekly average is determined by dividing the quarterly figure by 13.  However, when looking at historic data, this occasionally varies: the January to March 2008 quarter was made up of 14 weeks,  therefore this quarterly figure should be divided by 14 for the weekly average.</t>
  </si>
  <si>
    <t>Tests</t>
  </si>
  <si>
    <t>Male</t>
  </si>
  <si>
    <t>Conducted</t>
  </si>
  <si>
    <t>Female</t>
  </si>
  <si>
    <t>Passed</t>
  </si>
  <si>
    <t>4 Quarter</t>
  </si>
  <si>
    <t>rolling average</t>
  </si>
  <si>
    <t>Used cars exempt - Non govt owned</t>
  </si>
  <si>
    <t xml:space="preserve">                </t>
  </si>
  <si>
    <t>Northern Ireland</t>
  </si>
  <si>
    <t>Source: DVA</t>
  </si>
  <si>
    <t>Sources: NI - DVA; GB - DSA</t>
  </si>
  <si>
    <t>All Petrol</t>
  </si>
  <si>
    <t>All Diesel</t>
  </si>
  <si>
    <t>DIESEL</t>
  </si>
  <si>
    <t>All private cars</t>
  </si>
  <si>
    <t>All buses</t>
  </si>
  <si>
    <t>All light goods</t>
  </si>
  <si>
    <t>All heavy goods</t>
  </si>
  <si>
    <t>All tractors</t>
  </si>
  <si>
    <t>All motorcyles</t>
  </si>
  <si>
    <t>All new cars</t>
  </si>
  <si>
    <t>All used cars</t>
  </si>
  <si>
    <t>All persons</t>
  </si>
  <si>
    <t>All Vehicles</t>
  </si>
  <si>
    <t>All Cars</t>
  </si>
  <si>
    <t>All New Cars</t>
  </si>
  <si>
    <t>All Used Cars</t>
  </si>
  <si>
    <t>All New/Used Cars</t>
  </si>
  <si>
    <t>All New/Used Light Goods</t>
  </si>
  <si>
    <t>All Light Goods</t>
  </si>
  <si>
    <t>All New/Used Heavy Goods</t>
  </si>
  <si>
    <t>All Heavy Goods</t>
  </si>
  <si>
    <t xml:space="preserve">All light goods </t>
  </si>
  <si>
    <t xml:space="preserve">All heavy goods </t>
  </si>
  <si>
    <t xml:space="preserve">  Tonnes/Percentage</t>
  </si>
  <si>
    <t>All unleaded petrol</t>
  </si>
  <si>
    <t>All leaded petrol</t>
  </si>
  <si>
    <t>PETROL</t>
  </si>
  <si>
    <t>All Sulphur free petrol</t>
  </si>
  <si>
    <t>All registrations</t>
  </si>
  <si>
    <t>All passenger journeys</t>
  </si>
  <si>
    <t xml:space="preserve">All bus miles </t>
  </si>
  <si>
    <t>All passenger receipts</t>
  </si>
  <si>
    <t xml:space="preserve">All bus miles  </t>
  </si>
  <si>
    <t>All bus miles</t>
  </si>
  <si>
    <t xml:space="preserve">All passenger receipts </t>
  </si>
  <si>
    <t>All passenger miles</t>
  </si>
  <si>
    <t>Leaded petrol</t>
  </si>
  <si>
    <t>All Petrol and Diesel</t>
  </si>
  <si>
    <t>Passenger receipts £s</t>
  </si>
  <si>
    <t>Source: Driver and Vehicle Agency (DVA)</t>
  </si>
  <si>
    <t>DAF</t>
  </si>
  <si>
    <t>All motorcycles</t>
  </si>
  <si>
    <t>All new light goods</t>
  </si>
  <si>
    <t>Aside from being of general interest, the car registrations information in the quarterly Road and Rail Transport Statistics Bulletin is used for input into economic models managed by bank economists and by some car dealers to monitor the market.  Some media commentators also use first time registrations of new cars as one of the indicators of the state of the economy.</t>
  </si>
  <si>
    <t>The Northern Ireland Road and Rail Transport Statistics compendium publication is badged as National Statistics.  National Statistics are certified by the UK Statistics Authority as compliant with its Code of Practice for Official Statistics or are awaiting this assessment.  Northern Ireland Road and Rail Transport Statistics has undergone assessment and a copy of the final report setting out the assessment team’s findings was published in October 2010.  The report can be viewed at:</t>
  </si>
  <si>
    <t>All used light goods</t>
  </si>
  <si>
    <t>All new heavy goods</t>
  </si>
  <si>
    <t>All used heavy goods</t>
  </si>
  <si>
    <t>Chevrolet</t>
  </si>
  <si>
    <t>Smart</t>
  </si>
  <si>
    <t xml:space="preserve">   million (0.005% by weight). </t>
  </si>
  <si>
    <r>
      <t xml:space="preserve">4 quarter rolling average (% retests) </t>
    </r>
    <r>
      <rPr>
        <vertAlign val="superscript"/>
        <sz val="10"/>
        <color indexed="8"/>
        <rFont val="Arial"/>
        <family val="2"/>
      </rPr>
      <t>1</t>
    </r>
  </si>
  <si>
    <t>1 The 4 quarter rolling average figure refers to the % retests over the last 4 quarters.  For example, in the current quarter,</t>
  </si>
  <si>
    <t>1 The 4 quarter rolling average figure refers to the pass rate over the last 4 quarters.  For example, in the current quarter,</t>
  </si>
  <si>
    <r>
      <t>(% passed)</t>
    </r>
    <r>
      <rPr>
        <b/>
        <vertAlign val="superscript"/>
        <sz val="10"/>
        <color indexed="8"/>
        <rFont val="Arial"/>
        <family val="2"/>
      </rPr>
      <t>2</t>
    </r>
  </si>
  <si>
    <r>
      <t>(% passed)</t>
    </r>
    <r>
      <rPr>
        <b/>
        <vertAlign val="superscript"/>
        <sz val="10"/>
        <color indexed="8"/>
        <rFont val="Arial"/>
        <family val="2"/>
      </rPr>
      <t>1</t>
    </r>
  </si>
  <si>
    <t>Source: Department of Energy and Climate Change (DECC)</t>
  </si>
  <si>
    <t xml:space="preserve">   percentage of the total full tests completed over the same period.  This provides an estimate of the test failure rate (see</t>
  </si>
  <si>
    <t>Full Tests completed</t>
  </si>
  <si>
    <t>Jul-Sep 10</t>
  </si>
  <si>
    <t>New Cars</t>
  </si>
  <si>
    <t>Used Cars</t>
  </si>
  <si>
    <t>New and Used Cars</t>
  </si>
  <si>
    <t>Passenger journeys weekly average</t>
  </si>
  <si>
    <t>Ulsterbus</t>
  </si>
  <si>
    <t>Metro</t>
  </si>
  <si>
    <t>Great Britain</t>
  </si>
  <si>
    <t>Oct-Dec 10</t>
  </si>
  <si>
    <t>NI Railways</t>
  </si>
  <si>
    <t>Jan-Mar 11</t>
  </si>
  <si>
    <t xml:space="preserve">1 Finished motor spirit with a sulphur content not exceeding 50 parts per million (0.005% by weight). </t>
  </si>
  <si>
    <t>2 Finished motor spirit with an octane number (research method) not less than 97.</t>
  </si>
  <si>
    <t xml:space="preserve">3 Finished motor spirit with an octane number (research method) not less than 95.  </t>
  </si>
  <si>
    <t>4 Sulphur content does not exceed 10 parts per million (0.001% by weight).</t>
  </si>
  <si>
    <t>5 Lead Replacement Petrol: finished motor spirit containing an alternative to lead as an anti-wear additive.</t>
  </si>
  <si>
    <t>6 Ultra Low Sulphur Diesel: a grade of DERV (Diesel Engined Road Vehicle) fuel with a sulphur content not exceeding 50 parts per</t>
  </si>
  <si>
    <r>
      <t>Unleaded petrol</t>
    </r>
    <r>
      <rPr>
        <b/>
        <vertAlign val="superscript"/>
        <sz val="10"/>
        <color indexed="8"/>
        <rFont val="Arial"/>
        <family val="2"/>
      </rPr>
      <t xml:space="preserve">1 </t>
    </r>
  </si>
  <si>
    <r>
      <t>Super</t>
    </r>
    <r>
      <rPr>
        <vertAlign val="superscript"/>
        <sz val="10"/>
        <color indexed="8"/>
        <rFont val="Arial"/>
        <family val="2"/>
      </rPr>
      <t>2</t>
    </r>
  </si>
  <si>
    <r>
      <t>Premium (95 Ron)</t>
    </r>
    <r>
      <rPr>
        <vertAlign val="superscript"/>
        <sz val="10"/>
        <color indexed="8"/>
        <rFont val="Arial"/>
        <family val="2"/>
      </rPr>
      <t>3</t>
    </r>
  </si>
  <si>
    <r>
      <t>LRP</t>
    </r>
    <r>
      <rPr>
        <vertAlign val="superscript"/>
        <sz val="10"/>
        <color indexed="8"/>
        <rFont val="Arial"/>
        <family val="2"/>
      </rPr>
      <t>5</t>
    </r>
  </si>
  <si>
    <r>
      <t>ULSD</t>
    </r>
    <r>
      <rPr>
        <vertAlign val="superscript"/>
        <sz val="10"/>
        <color indexed="8"/>
        <rFont val="Arial"/>
        <family val="2"/>
      </rPr>
      <t>6</t>
    </r>
  </si>
  <si>
    <r>
      <t>Sulphur free</t>
    </r>
    <r>
      <rPr>
        <vertAlign val="superscript"/>
        <sz val="10"/>
        <color indexed="8"/>
        <rFont val="Arial"/>
        <family val="2"/>
      </rPr>
      <t>4</t>
    </r>
  </si>
  <si>
    <r>
      <t>Sulphur free</t>
    </r>
    <r>
      <rPr>
        <b/>
        <vertAlign val="superscript"/>
        <sz val="10"/>
        <color indexed="8"/>
        <rFont val="Arial"/>
        <family val="2"/>
      </rPr>
      <t xml:space="preserve">4 </t>
    </r>
    <r>
      <rPr>
        <b/>
        <sz val="10"/>
        <color indexed="8"/>
        <rFont val="Arial"/>
        <family val="2"/>
      </rPr>
      <t>petrol</t>
    </r>
  </si>
  <si>
    <r>
      <t>Oct-Dec 10</t>
    </r>
    <r>
      <rPr>
        <b/>
        <vertAlign val="superscript"/>
        <sz val="10"/>
        <rFont val="Arial"/>
        <family val="2"/>
      </rPr>
      <t xml:space="preserve"> p</t>
    </r>
  </si>
  <si>
    <r>
      <t>Jan-Mar 11</t>
    </r>
    <r>
      <rPr>
        <b/>
        <vertAlign val="superscript"/>
        <sz val="10"/>
        <rFont val="Arial"/>
        <family val="2"/>
      </rPr>
      <t xml:space="preserve"> p </t>
    </r>
  </si>
  <si>
    <t>Northern Ireland Road and Rail Transport Statistics</t>
  </si>
  <si>
    <t>Index of tables</t>
  </si>
  <si>
    <t>Page no.</t>
  </si>
  <si>
    <t>User Information</t>
  </si>
  <si>
    <t>Technical Notes</t>
  </si>
  <si>
    <t>USER INFORMATION</t>
  </si>
  <si>
    <t xml:space="preserve">This section contains some information about the background to the publication and the quality of the data used in the NI Road and Rail Transport Statistics Bulletin including guidance to assist with interpretation. </t>
  </si>
  <si>
    <t>Background Information</t>
  </si>
  <si>
    <t>Background and Uses of the Publication</t>
  </si>
  <si>
    <t>The first Quarterly Road and Rail Transport Statistics Bulletin (October to December 1996) was developed to meet the need for more frequent and timely information.  It contains a subset of the information that appears in the Annual (NI Transport Statistics published each year in September).  This includes vehicle registrations, public transport, petrol and diesel deliveries and driver and vehicle testing.  The reports are published approximately 3 months after the quarter to which they refer.</t>
  </si>
  <si>
    <t>The publication is generally used for reference and is a good starting point when looking for Northern Ireland transport statistics.</t>
  </si>
  <si>
    <t>Data collection and timeliness</t>
  </si>
  <si>
    <t>p     provisional data</t>
  </si>
  <si>
    <t>r      revised data</t>
  </si>
  <si>
    <t>.      not applicable or negligible</t>
  </si>
  <si>
    <t xml:space="preserve">..     not available  </t>
  </si>
  <si>
    <t xml:space="preserve">To inform this publication, data are supplied from a variety of sources.  As most of the information is readily available, it is not thought to create an unreasonable burden on the data suppliers.  CSRB have consulted with data suppliers regarding this process. The findings are published in a short report which can be viewed at:-  </t>
  </si>
  <si>
    <t xml:space="preserve"> http://www.drdni.gov.uk/index/statistics/transport_statistics_users_group.htm</t>
  </si>
  <si>
    <t>Due to the nature of compendium publications, some data are available earlier than others but we can not publish until the final piece of data is provided.  In addition, in order to publish data at a common time point, the figures may not be the latest available.  More up-to-date data (for example, monthly data) may be available directly from the individual data suppliers.</t>
  </si>
  <si>
    <t>National Statistics</t>
  </si>
  <si>
    <t>http://www.statisticsauthority.gov.uk/assessment/assessment-reports/index.html</t>
  </si>
  <si>
    <t>Following the completion of a number of requirements, confirmation was received from the UK Statistics Authority in March 2011 that the publication has maintained its National Statistics status.</t>
  </si>
  <si>
    <t xml:space="preserve">The United Kingdom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</si>
  <si>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</si>
  <si>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r>
      <t>·</t>
    </r>
    <r>
      <rPr>
        <sz val="7"/>
        <color indexed="8"/>
        <rFont val="Times New Roman"/>
        <family val="1"/>
      </rPr>
      <t xml:space="preserve">        </t>
    </r>
    <r>
      <rPr>
        <sz val="12"/>
        <color indexed="8"/>
        <rFont val="Arial"/>
        <family val="2"/>
      </rPr>
      <t>meet identified user needs;</t>
    </r>
  </si>
  <si>
    <r>
      <t>·</t>
    </r>
    <r>
      <rPr>
        <sz val="7"/>
        <color indexed="8"/>
        <rFont val="Times New Roman"/>
        <family val="1"/>
      </rPr>
      <t xml:space="preserve">        </t>
    </r>
    <r>
      <rPr>
        <sz val="12"/>
        <color indexed="8"/>
        <rFont val="Arial"/>
        <family val="2"/>
      </rPr>
      <t>are well explained and readily accessible;</t>
    </r>
  </si>
  <si>
    <t>Apr-Jun 11</t>
  </si>
  <si>
    <t>Imported outside GB</t>
  </si>
  <si>
    <t xml:space="preserve">   can be compared.  Care should be taken if comparing figures with previous publications.</t>
  </si>
  <si>
    <t>2 The 4 quarter rolling average figure refers to the pass rate over the last 4 quarters.  For example, in the current quarter, the 4 quarter</t>
  </si>
  <si>
    <r>
      <t xml:space="preserve">       </t>
    </r>
    <r>
      <rPr>
        <b/>
        <u/>
        <sz val="10"/>
        <color indexed="8"/>
        <rFont val="Arial"/>
        <family val="2"/>
      </rPr>
      <t>Oct-Dec 10</t>
    </r>
    <r>
      <rPr>
        <b/>
        <u/>
        <vertAlign val="superscript"/>
        <sz val="10"/>
        <color indexed="8"/>
        <rFont val="Arial"/>
        <family val="2"/>
      </rPr>
      <t>p</t>
    </r>
  </si>
  <si>
    <r>
      <t xml:space="preserve">       </t>
    </r>
    <r>
      <rPr>
        <b/>
        <u/>
        <sz val="10"/>
        <color indexed="8"/>
        <rFont val="Arial"/>
        <family val="2"/>
      </rPr>
      <t>Jan-Mar 11</t>
    </r>
    <r>
      <rPr>
        <b/>
        <u/>
        <vertAlign val="superscript"/>
        <sz val="10"/>
        <color indexed="8"/>
        <rFont val="Arial"/>
        <family val="2"/>
      </rPr>
      <t>p</t>
    </r>
  </si>
  <si>
    <t>The data are deliveries into consumption, as opposed to being estimates of actual consumption or</t>
  </si>
  <si>
    <t>use. Deliveries will not necessarily be consumed in Northern Ireland.</t>
  </si>
  <si>
    <t>The data are derived from DECC’s Downstream Oil Reporting System (DORS), which replaced the</t>
  </si>
  <si>
    <t>UK Petroleum Industry Association (UKPIA) data collection system in 2005. Data relating to the</t>
  </si>
  <si>
    <t>inland operations of the UK oil industry are collected from companies. The motor spirit and DERV</t>
  </si>
  <si>
    <t>data do not include deliveries from sources other than the UK oil refineries (i.e. do not include data</t>
  </si>
  <si>
    <t>such as imports, e.g. by hyper/supermarket companies).</t>
  </si>
  <si>
    <t>8.1 Car 'L' driving tests, NI/GB comparison: Jul-Sep 10 to Jul-Sep 11</t>
  </si>
  <si>
    <t xml:space="preserve">   the 4 quarter rolling average refers to the pass rate for the period October 2010 to September 2011</t>
  </si>
  <si>
    <t>8.2  Touch screen theory tests for private car drivers, NI/GB comparison: Jul-Sep 10 to Jul-Sep 11</t>
  </si>
  <si>
    <r>
      <t>8.3  Motorcycle 'L' driving tests</t>
    </r>
    <r>
      <rPr>
        <b/>
        <vertAlign val="superscript"/>
        <sz val="11"/>
        <color indexed="8"/>
        <rFont val="Arial"/>
        <family val="2"/>
      </rPr>
      <t>1</t>
    </r>
    <r>
      <rPr>
        <b/>
        <sz val="11"/>
        <color indexed="8"/>
        <rFont val="Arial"/>
        <family val="2"/>
      </rPr>
      <t>, NI/GB comparison: Jul-Sep 10 to Jul-Sep 11</t>
    </r>
  </si>
  <si>
    <t>1 Motorcycle tests changed from a single test to a 2 module test where both modules must be passed (December 2008 in NI,</t>
  </si>
  <si>
    <t xml:space="preserve">   April 2009 in GB).  The figures in this table are all in the time period after the change and therefore, within each country, figures</t>
  </si>
  <si>
    <t xml:space="preserve">   rolling average refers to the pass rate for the period October 2010 to September 2011.  Note that NI and GB pass rates are compiled</t>
  </si>
  <si>
    <t xml:space="preserve">   on a different basis - see User Information (page 7).</t>
  </si>
  <si>
    <t>8.4  Touch screen theory tests for motorcyclists, NI/GB comparison: Jul-Sep 10 to Jul-Sep 11</t>
  </si>
  <si>
    <t xml:space="preserve">   the 4 quarter rolling average refers to the pass rate for the period October 2010 to September 2011.</t>
  </si>
  <si>
    <t>8.5  Large goods vehicle driving tests, NI/GB comparison: Jul-Sep 10 to Jul-Sep 11</t>
  </si>
  <si>
    <r>
      <t>Oct-Dec 10</t>
    </r>
    <r>
      <rPr>
        <b/>
        <u/>
        <vertAlign val="superscript"/>
        <sz val="10"/>
        <color indexed="8"/>
        <rFont val="Arial"/>
        <family val="2"/>
      </rPr>
      <t>r</t>
    </r>
  </si>
  <si>
    <t>8.6  Passenger carrying vehicle driving tests, NI/GB comparison: Jul-Sep 10 to Jul-Sep 11</t>
  </si>
  <si>
    <t>DECC publish United Kingdom level data in the Digest of United Kingdom Energy Statistics</t>
  </si>
  <si>
    <t>(DUKES). Final UK level figures for 2010 will be published in DUKES 2012 in July 2012 and 2011</t>
  </si>
  <si>
    <t>data will be published in DUKES 2013.</t>
  </si>
  <si>
    <t>Covers Buses and Taxis. Vehicles are tested on application for a licence and yearly thereafter.</t>
  </si>
  <si>
    <r>
      <t>·</t>
    </r>
    <r>
      <rPr>
        <sz val="7"/>
        <color indexed="8"/>
        <rFont val="Times New Roman"/>
        <family val="1"/>
      </rPr>
      <t xml:space="preserve">        </t>
    </r>
    <r>
      <rPr>
        <sz val="12"/>
        <rFont val="Arial"/>
        <family val="2"/>
      </rPr>
      <t>are produced according to sound methods, and</t>
    </r>
  </si>
  <si>
    <r>
      <t>·</t>
    </r>
    <r>
      <rPr>
        <sz val="7"/>
        <rFont val="Times New Roman"/>
        <family val="1"/>
      </rPr>
      <t xml:space="preserve">        </t>
    </r>
    <r>
      <rPr>
        <sz val="12"/>
        <rFont val="Arial"/>
        <family val="2"/>
      </rPr>
      <t>are managed impartially and objectively in the public interest.</t>
    </r>
  </si>
  <si>
    <t xml:space="preserve">Once statistics have been designated as National Statistics it is a statutory requirement that the Code of Practice shall continue to be observed. </t>
  </si>
  <si>
    <t>For a copy of the Code of Practice for Official Statistics:</t>
  </si>
  <si>
    <t>http://www.statisticsauthority.gov.uk/assessment/code-of-practice/code-of-practice-for-official-statistics.pdf</t>
  </si>
  <si>
    <t xml:space="preserve">In addition, the petrol and diesel deliveries data published in Table 6.1 of this publication have been designated as National Statistics in their own right.  This has been highlighted in the relevant table.  </t>
  </si>
  <si>
    <t>Data in the Publication</t>
  </si>
  <si>
    <t>General guidance on using the data</t>
  </si>
  <si>
    <r>
      <t>·</t>
    </r>
    <r>
      <rPr>
        <sz val="7"/>
        <rFont val="Times New Roman"/>
        <family val="1"/>
      </rPr>
      <t xml:space="preserve">              </t>
    </r>
    <r>
      <rPr>
        <sz val="12"/>
        <rFont val="Arial"/>
        <family val="2"/>
      </rPr>
      <t>Most of the data in the publication are seasonal (such as vehicle registrations, public transport and annual vehicle tests).  Therefore data from the current quarter should be compared with data from the same quarter in the previous year rather than the previous quarter.</t>
    </r>
  </si>
  <si>
    <t>Vehicle registrations (Table 1.1 to 4.2)</t>
  </si>
  <si>
    <t>Description of the data</t>
  </si>
  <si>
    <t>Data on all new and used vehicles registered for the first time in Northern Ireland during the quarter are provided by the Driver and Vehicle Agency (DVA).</t>
  </si>
  <si>
    <t>Website of data provider</t>
  </si>
  <si>
    <t>http://www.dvani.gov.uk/</t>
  </si>
  <si>
    <t>Data Quality Assessment</t>
  </si>
  <si>
    <t>Very Good – data are derived from an administrative system with full coverage and incorporating various validation checks. In addition, variance checks are employed as an integral part of the production process with large discrepancies between current quarter and corresponding quarter from previous year queried with the data provider.</t>
  </si>
  <si>
    <t>Guidance on using the data</t>
  </si>
  <si>
    <t>Figure 2.1: Cars registered for the first time by new/used breakdown: July to September 2007 to 2011</t>
  </si>
  <si>
    <t>Jul-Sep 2007</t>
  </si>
  <si>
    <t>Jul-Sep 2008</t>
  </si>
  <si>
    <t>Jul-Sep 2009</t>
  </si>
  <si>
    <r>
      <t>New vehicles</t>
    </r>
    <r>
      <rPr>
        <sz val="12"/>
        <rFont val="Arial"/>
        <family val="2"/>
      </rPr>
      <t xml:space="preserve"> - First registration of vehicles refers to the first time the vehicle has been registered in Northern Ireland. When considering new vehicles, such registrations would account for a large proportion of their sales.  So the trend in new vehicle registrations can be taken as indicative of the trend in new vehicle sales.</t>
    </r>
  </si>
  <si>
    <r>
      <t xml:space="preserve">Used vehicles </t>
    </r>
    <r>
      <rPr>
        <sz val="12"/>
        <rFont val="Arial"/>
        <family val="2"/>
      </rPr>
      <t>- However, the above is not the case with used vehicles where the vast majority of vehicles registered for the first time within Northern Ireland are imports. The figures therefore would not be generally reflective of all used car sales within NI given that many such sales involve cars with a previous NI registration and these are not captured in the data.</t>
    </r>
  </si>
  <si>
    <t>Public Transport (Table 5.1 to 5.4)</t>
  </si>
  <si>
    <t>The figures in this section are on all journeys taken during the quarter on Ulsterbus, Metro and NI Railways scheduled (timetabled) services.  The data are supplied by Translink.</t>
  </si>
  <si>
    <t>http://www.translink.co.uk/</t>
  </si>
  <si>
    <t>Very Good – data are derived from administrative financial systems with full coverage and incorporating various validation checks. In addition, variance checks are employed as an integral part of the production process with large discrepancies between current quarter and corresponding quarter from previous year queried with the data provider.  For ticket types where individual journeys are not recorded (such as day tickets, school seasonal passes, commuter cards), a set number of journeys are allocated per ticket/pass sold.</t>
  </si>
  <si>
    <t>Only scheduled (timetabled) services are included but non-scheduled services (such as private hire or tours) only account for a small part of Translink’s services.</t>
  </si>
  <si>
    <t>Due to this variation, the weekly average figure for the quarter should be used when comparing with other time periods instead of the total number for the quarter.</t>
  </si>
  <si>
    <t>It should be noted that a large proportion of Ulsterbus passenger journeys are taken by school pupils and therefore changes in the Ulsterbus trend will be partly driven by pupil numbers which have been declining in recent years.</t>
  </si>
  <si>
    <t>Petroleum (Table 6.1)</t>
  </si>
  <si>
    <t>These data are National Statistics.</t>
  </si>
  <si>
    <t xml:space="preserve">These data are initially compiled and collated on a UK-basis and data quality is considered to be very good at this level. However, the robustness of the data at individual country level is not routinely audited by DECC and, as such, it is not usually possible to get an explanation for large quarterly variations from source providers. Care should therefore be taken when interpreting changes in the trend at NI level. </t>
  </si>
  <si>
    <t>These figures refer to the amount of petrol and diesel delivered to Northern Ireland. However, because of onward deliveries and possible stockpiling of fuel, this will not equate to the amount of fuel consumed in Northern Ireland during the period.</t>
  </si>
  <si>
    <t>They only represent deliveries from UK sources and therefore imports of petrol and diesel from other countries are not included. Any fluctuation in the trend does not therefore necessarily represent a fluctuation in consumer demand but may also, in part, reflect a shift in the balance of deliveries from UK and non-UK sources.</t>
  </si>
  <si>
    <t>Driver and vehicle testing (Tables 7.1 to 8.6)</t>
  </si>
  <si>
    <t>1.1    Motor vehicles registered for the first time: Jul-Sep 10 to Jul-Sep 11</t>
  </si>
  <si>
    <t>Oct-Dec 11</t>
  </si>
  <si>
    <t>Jul-Sep 11</t>
  </si>
  <si>
    <t>1.2     Motor vehicles registered for the first time by month: Jul-Sep 11</t>
  </si>
  <si>
    <t>Jul</t>
  </si>
  <si>
    <t>Aug</t>
  </si>
  <si>
    <t>Sep</t>
  </si>
  <si>
    <t>2.1   New and used cars registered for the first time by make: Jul-Sep 10 to Jul-Sep 11</t>
  </si>
  <si>
    <t>2.2     New cars registered for the first time by make: Jul-Sep 11</t>
  </si>
  <si>
    <t>2.3     Used cars registered for the first time by make: Jul-Sep 11</t>
  </si>
  <si>
    <t>3.1   New and used light goods registered for the first time by make: Jul-Sep 10 to Jul-Sep 11</t>
  </si>
  <si>
    <t>3.2   Light goods registered for the first time by make, month and new/used breakdown: Jul-Sep 11</t>
  </si>
  <si>
    <t>Jul-Sep</t>
  </si>
  <si>
    <t xml:space="preserve"> Jul-Sep 11</t>
  </si>
  <si>
    <t>4.1   New and used heavy goods registered for the first time by make: Jul-Sep 10 to Jul-Sep 11</t>
  </si>
  <si>
    <t>4.2   Heavy goods registered for the first time by make, month and new/used breakdown: Jul-Sep 11</t>
  </si>
  <si>
    <t xml:space="preserve">   technical notes on Tables 7.1 to 7.4 (page 28)).</t>
  </si>
  <si>
    <t>6.1  Deliveries of Petrol and Diesel for use in Northern Ireland: Jul-Sep 10 to Jul-Sep 11</t>
  </si>
  <si>
    <t>7.1   Road vehicle testing scheme (MOT) - Motor cars: Jul-Sep 10 to Jul-Sep 11</t>
  </si>
  <si>
    <t>7.2   Road vehicle testing scheme (MOT) - Motorcycles: Jul-Sep 10 to Jul-Sep 11</t>
  </si>
  <si>
    <t>7.3   Public service vehicle testing scheme: Jul-Sep 10 to Jul-Sep 11</t>
  </si>
  <si>
    <t>7.4   Goods vehicle testing scheme: Jul-Sep 10 to Jul-Sep 11</t>
  </si>
  <si>
    <t xml:space="preserve">   the 4 quarter rolling average refers to the total retests for the period October 2010 to September 2011 expressed as a</t>
  </si>
  <si>
    <t>5.1   Ulsterbus, Metro, NIR passenger journeys weekly average: Jul-Sep 11</t>
  </si>
  <si>
    <t>Jul-Sep 2010</t>
  </si>
  <si>
    <t>Jul-Sep 2011</t>
  </si>
  <si>
    <r>
      <t xml:space="preserve">       </t>
    </r>
    <r>
      <rPr>
        <b/>
        <u/>
        <sz val="10"/>
        <color indexed="8"/>
        <rFont val="Arial"/>
        <family val="2"/>
      </rPr>
      <t>Apr-Jun 11</t>
    </r>
    <r>
      <rPr>
        <b/>
        <u/>
        <vertAlign val="superscript"/>
        <sz val="10"/>
        <color indexed="8"/>
        <rFont val="Arial"/>
        <family val="2"/>
      </rPr>
      <t>p, r</t>
    </r>
  </si>
  <si>
    <r>
      <t xml:space="preserve">       </t>
    </r>
    <r>
      <rPr>
        <b/>
        <u/>
        <sz val="10"/>
        <color indexed="8"/>
        <rFont val="Arial"/>
        <family val="2"/>
      </rPr>
      <t>Jul-Sep 11</t>
    </r>
    <r>
      <rPr>
        <b/>
        <u/>
        <vertAlign val="superscript"/>
        <sz val="10"/>
        <color indexed="8"/>
        <rFont val="Arial"/>
        <family val="2"/>
      </rPr>
      <t>p</t>
    </r>
  </si>
  <si>
    <t>Data cover all full annual vehicle tests and retests carried out in Northern Ireland during the quarter.  In addition, information on all persons taking car, motorcycle, large goods vehicle and passenger carrying vehicle driving tests in Northern Ireland during the quarter are reported in this section.  These figures are provided by the DVA.  Equivalent information on driving tests in Great Britain is provided by the Driving Standards Agency (DSA).</t>
  </si>
  <si>
    <t>Websites of data providers</t>
  </si>
  <si>
    <t>http://www.dft.gov.uk/dsa/</t>
  </si>
  <si>
    <t>Future developments</t>
  </si>
  <si>
    <t>We are currently in discussion with DVA to try and obtain actual vehicle test pass/fail rates to replace the estimate of vehicle test failures in the current tables (see first bullet point below).  In addition, we are looking into obtaining an age breakdown for driving tests (see second bullet point below).  See separate note on motorcycle tests.</t>
  </si>
  <si>
    <t>Very Good – data are derived from administrative systems with full coverage and incorporating various validation checks. In addition, variance checks are employed as an integral part of the production process with large discrepancies between current quarter and corresponding quarter from previous year queried with the data provider.</t>
  </si>
  <si>
    <t>The driving test pass rate comparisons between NI and GB do not currently take into account the age profile of the persons being tested. If driving test success is related to age, and the age profile of persons being tested varies between countries, then this could account for some of the difference in the observed overall pass rates (it may be possible to provide pass rates for individual age groups in future bulletins).</t>
  </si>
  <si>
    <t>Note that due to the smaller number of females taking large goods vehicle driving tests and passenger carrying vehicle driving tests in Northern Ireland, the pass rate figures are more prone to random fluctuation than Great Britain figures. Care should therefore be exercised before drawing conclusions with regard to short-term changes in trend.</t>
  </si>
  <si>
    <t>Motorcycle tests (Table 8.3)</t>
  </si>
  <si>
    <t>What this means</t>
  </si>
  <si>
    <t>5.1   Ulsterbus passenger journeys, bus miles and passenger receipts: Jul-Sep 10 to Jul-Sep 11</t>
  </si>
  <si>
    <t xml:space="preserve">Jul-Sep 10 </t>
  </si>
  <si>
    <r>
      <t>Oct-Dec 11</t>
    </r>
    <r>
      <rPr>
        <b/>
        <vertAlign val="superscript"/>
        <sz val="10"/>
        <rFont val="Arial"/>
        <family val="2"/>
      </rPr>
      <t xml:space="preserve"> p </t>
    </r>
  </si>
  <si>
    <r>
      <t>Jan-Mar 11</t>
    </r>
    <r>
      <rPr>
        <b/>
        <vertAlign val="superscript"/>
        <sz val="10"/>
        <rFont val="Arial"/>
        <family val="2"/>
      </rPr>
      <t xml:space="preserve"> p  </t>
    </r>
  </si>
  <si>
    <r>
      <t>Apr-Jun 11</t>
    </r>
    <r>
      <rPr>
        <b/>
        <vertAlign val="superscript"/>
        <sz val="10"/>
        <rFont val="Arial"/>
        <family val="2"/>
      </rPr>
      <t xml:space="preserve"> p  </t>
    </r>
  </si>
  <si>
    <r>
      <t>Jul-Sep 11</t>
    </r>
    <r>
      <rPr>
        <b/>
        <vertAlign val="superscript"/>
        <sz val="10"/>
        <rFont val="Arial"/>
        <family val="2"/>
      </rPr>
      <t xml:space="preserve">p  </t>
    </r>
  </si>
  <si>
    <t>5.2   Metro passenger journeys, bus miles and passenger receipts: Jul-Sep 10 to Jul-Sep 11</t>
  </si>
  <si>
    <r>
      <t>Jul-Sep 10</t>
    </r>
    <r>
      <rPr>
        <b/>
        <vertAlign val="superscript"/>
        <sz val="10"/>
        <rFont val="Arial"/>
        <family val="2"/>
      </rPr>
      <t xml:space="preserve"> </t>
    </r>
  </si>
  <si>
    <r>
      <t xml:space="preserve">Apr-Jun 11 </t>
    </r>
    <r>
      <rPr>
        <b/>
        <vertAlign val="superscript"/>
        <sz val="10"/>
        <rFont val="Arial"/>
        <family val="2"/>
      </rPr>
      <t xml:space="preserve">p </t>
    </r>
  </si>
  <si>
    <t>5.3  Ulsterbus and Metro passenger journeys, bus miles and passenger receipts: Jul-Sep 10 to Jul-Sep 11</t>
  </si>
  <si>
    <r>
      <t>Oct-Dec 11</t>
    </r>
    <r>
      <rPr>
        <b/>
        <vertAlign val="superscript"/>
        <sz val="10"/>
        <rFont val="Arial"/>
        <family val="2"/>
      </rPr>
      <t xml:space="preserve"> p</t>
    </r>
  </si>
  <si>
    <r>
      <t>Apr-Jun 11</t>
    </r>
    <r>
      <rPr>
        <b/>
        <vertAlign val="superscript"/>
        <sz val="10"/>
        <rFont val="Arial"/>
        <family val="2"/>
      </rPr>
      <t xml:space="preserve"> p</t>
    </r>
  </si>
  <si>
    <r>
      <t>Jul-Sep 11</t>
    </r>
    <r>
      <rPr>
        <b/>
        <vertAlign val="superscript"/>
        <sz val="10"/>
        <rFont val="Arial"/>
        <family val="2"/>
      </rPr>
      <t xml:space="preserve">p </t>
    </r>
  </si>
  <si>
    <t>5.4   NIR passenger journeys, passenger miles and passenger receipts: Jul-Sep 10 to Jul-Sep 11</t>
  </si>
  <si>
    <r>
      <t>·</t>
    </r>
    <r>
      <rPr>
        <sz val="7"/>
        <color indexed="8"/>
        <rFont val="Times New Roman"/>
        <family val="1"/>
      </rPr>
      <t xml:space="preserve">        </t>
    </r>
    <r>
      <rPr>
        <sz val="12"/>
        <color indexed="8"/>
        <rFont val="Arial"/>
        <family val="2"/>
      </rPr>
      <t>The figures in this publication are all in the time period after the change to the test therefore, within each country, they are comparable i.e. NI figures for the current quarter can be compared with other NI figures in the table, and likewise GB figures compared with other GB figures.  However, care should be taken when comparing with figures from previous publications as figures before and after the change are not directly comparable.</t>
    </r>
  </si>
  <si>
    <r>
      <t>·</t>
    </r>
    <r>
      <rPr>
        <sz val="7"/>
        <color indexed="8"/>
        <rFont val="Times New Roman"/>
        <family val="1"/>
      </rPr>
      <t xml:space="preserve">        </t>
    </r>
    <r>
      <rPr>
        <sz val="12"/>
        <color indexed="8"/>
        <rFont val="Arial"/>
        <family val="2"/>
      </rPr>
      <t>GB and NI pass rate figures are not precisely comparable.  Great Britain currently supplies data for Module 2 tests only, whereas Northern Ireland supplies data for both Module 1 and Module 2 tests combined.</t>
    </r>
  </si>
  <si>
    <t xml:space="preserve">It is intended for future publications to investigate whether the NI data can be broken down by each specific test module in order that comparisons with GB can again be made on a like-for-like basis (i.e. based on Module 2 tests and results). </t>
  </si>
  <si>
    <t xml:space="preserve">With effect from 1 April 1996 all private cars and motorcycles (that is, all motor vehicles other than Large Passenger Carrying Vehicles, Goods Vehicles, Trailers and Public Service Vehicles) becoming four years old must be tested at four years and over on the fourth anniversary of first registration and yearly thereafter. Before this date the requirement was to test at five years and over on the fifth anniversary of first registration. Large Passenger Carrying Vehicles are tested on the first anniversary of registration and yearly thereafter. </t>
  </si>
  <si>
    <t>Analysis of the impact</t>
  </si>
  <si>
    <t>July - September 2011</t>
  </si>
  <si>
    <t>Table 1.1 Motor vehicles registered for the first time: Jul-Sep 10 to Jul-Sep 11</t>
  </si>
  <si>
    <t>Table 1.2 Motor vehicles registered for the first time by month: Jul-Sep 11</t>
  </si>
  <si>
    <t>Table 2.1 New and used cars registered for the first time by make: Jul-Sep 10 to Jul-Sep 11</t>
  </si>
  <si>
    <t>Figure 2.1: Cars registered for the first time by new/used breakdown: July - September quarter 2007 to 2011</t>
  </si>
  <si>
    <t>Table 2.2 New cars registered for the first time by make and month: Jul-Sep 11</t>
  </si>
  <si>
    <t>Table 2.3 Used cars registered for the first time by make and month: Jul-Sep 11</t>
  </si>
  <si>
    <t>Table 3.1 New and used light goods vehicles registered for the first time by make: Jul-Sep 10 to Jul-Sep 11</t>
  </si>
  <si>
    <t>Table 3.2 Light goods vehicles registered for the first time by make, month and new/used breakdown: Jul-Sep 11</t>
  </si>
  <si>
    <t>Table 4.1 New and used heavy goods vehicles registered for the first time by make: Jul-Sep 10 to Jul-Sep 11</t>
  </si>
  <si>
    <t>Table 4.2 Heavy goods vehicles registered for the first time by make, month and new/used breakdown: Jul-Sep 11</t>
  </si>
  <si>
    <t>Table 5.1 Ulsterbus passenger journeys, bus miles and passenger receipts: Jul-Sep 10 to Jul-Sep 11</t>
  </si>
  <si>
    <t>Table 5.2 Metro passenger journeys, bus miles and passenger receipts: Jul-Sep 10 to Jul-Sep 11</t>
  </si>
  <si>
    <t>Table 5.3 Ulsterbus and Metro passenger journeys, bus miles and passenger receipts: Jul-Sep 10 to Jul-Sep 11</t>
  </si>
  <si>
    <t xml:space="preserve">Table 5.4 NIR passenger journeys, passenger miles and passenger receipts: Jul-Sep 10 to Jul-Sep 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</si>
</sst>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
  </numFmts>
  <fonts count="66" x14ac:knownFonts="1">
    <font>
      <sz val="10"/>
      <name val="Arial"/>
    </font>
    <font>
      <sz val="10"/>
      <name val="Arial"/>
    </font>
    <font>
      <b/>
      <sz val="10"/>
      <name val="Arial"/>
      <family val="2"/>
    </font>
    <font>
      <sz val="10"/>
      <name val="Arial"/>
      <family val="2"/>
    </font>
    <font>
      <sz val="10"/>
      <color indexed="8"/>
      <name val="Times New Roman"/>
      <family val="1"/>
    </font>
    <font>
      <sz val="12"/>
      <name val="Times New Roman"/>
      <family val="1"/>
    </font>
    <font>
      <b/>
      <sz val="10"/>
      <color indexed="8"/>
      <name val="Times New Roman"/>
      <family val="1"/>
    </font>
    <font>
      <sz val="8"/>
      <color indexed="8"/>
      <name val="Times New Roman"/>
      <family val="1"/>
    </font>
    <font>
      <sz val="8"/>
      <name val="Times New Roman"/>
      <family val="1"/>
    </font>
    <font>
      <b/>
      <sz val="12"/>
      <name val="Times New Roman"/>
      <family val="1"/>
    </font>
    <font>
      <sz val="10"/>
      <name val="Times New Roman"/>
      <family val="1"/>
    </font>
    <font>
      <b/>
      <sz val="10"/>
      <name val="Times New Roman"/>
      <family val="1"/>
    </font>
    <font>
      <u/>
      <sz val="10"/>
      <color indexed="12"/>
      <name val="Arial"/>
    </font>
    <font>
      <b/>
      <sz val="11"/>
      <name val="Times New Roman"/>
      <family val="1"/>
    </font>
    <font>
      <sz val="11"/>
      <name val="Times New Roman"/>
      <family val="1"/>
    </font>
    <font>
      <b/>
      <i/>
      <u/>
      <sz val="10"/>
      <name val="Times New Roman"/>
      <family val="1"/>
    </font>
    <font>
      <b/>
      <sz val="12"/>
      <color indexed="8"/>
      <name val="Times New Roman"/>
      <family val="1"/>
    </font>
    <font>
      <b/>
      <sz val="10"/>
      <color indexed="63"/>
      <name val="Times New Roman"/>
      <family val="1"/>
    </font>
    <font>
      <sz val="10"/>
      <color indexed="63"/>
      <name val="Times New Roman"/>
      <family val="1"/>
    </font>
    <font>
      <sz val="10"/>
      <color indexed="8"/>
      <name val="Arial"/>
      <family val="2"/>
    </font>
    <font>
      <b/>
      <sz val="12"/>
      <name val="Arial"/>
      <family val="2"/>
    </font>
    <font>
      <sz val="12"/>
      <name val="Arial"/>
      <family val="2"/>
    </font>
    <font>
      <b/>
      <sz val="12"/>
      <color indexed="8"/>
      <name val="Arial"/>
      <family val="2"/>
    </font>
    <font>
      <b/>
      <sz val="10"/>
      <color indexed="8"/>
      <name val="Arial"/>
      <family val="2"/>
    </font>
    <font>
      <b/>
      <vertAlign val="superscript"/>
      <sz val="10"/>
      <color indexed="8"/>
      <name val="Arial"/>
      <family val="2"/>
    </font>
    <font>
      <b/>
      <sz val="11"/>
      <name val="Arial"/>
      <family val="2"/>
    </font>
    <font>
      <b/>
      <u/>
      <sz val="10"/>
      <name val="Arial"/>
      <family val="2"/>
    </font>
    <font>
      <b/>
      <sz val="11"/>
      <color indexed="8"/>
      <name val="Arial"/>
      <family val="2"/>
    </font>
    <font>
      <sz val="11"/>
      <name val="Arial"/>
    </font>
    <font>
      <sz val="11"/>
      <name val="Arial"/>
      <family val="2"/>
    </font>
    <font>
      <i/>
      <sz val="10"/>
      <name val="Arial"/>
      <family val="2"/>
    </font>
    <font>
      <i/>
      <sz val="10"/>
      <color indexed="8"/>
      <name val="Arial"/>
      <family val="2"/>
    </font>
    <font>
      <b/>
      <i/>
      <sz val="10"/>
      <color indexed="8"/>
      <name val="Arial"/>
      <family val="2"/>
    </font>
    <font>
      <vertAlign val="superscript"/>
      <sz val="10"/>
      <color indexed="8"/>
      <name val="Arial"/>
      <family val="2"/>
    </font>
    <font>
      <b/>
      <vertAlign val="superscript"/>
      <sz val="11"/>
      <color indexed="8"/>
      <name val="Arial"/>
      <family val="2"/>
    </font>
    <font>
      <b/>
      <u/>
      <sz val="10"/>
      <color indexed="8"/>
      <name val="Arial"/>
      <family val="2"/>
    </font>
    <font>
      <b/>
      <u/>
      <vertAlign val="superscript"/>
      <sz val="10"/>
      <color indexed="8"/>
      <name val="Arial"/>
      <family val="2"/>
    </font>
    <font>
      <sz val="11"/>
      <color indexed="8"/>
      <name val="Arial"/>
      <family val="2"/>
    </font>
    <font>
      <sz val="10"/>
      <color indexed="9"/>
      <name val="Arial"/>
      <family val="2"/>
    </font>
    <font>
      <b/>
      <sz val="10"/>
      <color indexed="9"/>
      <name val="Arial"/>
      <family val="2"/>
    </font>
    <font>
      <u/>
      <sz val="10"/>
      <name val="Arial"/>
      <family val="2"/>
    </font>
    <font>
      <b/>
      <sz val="14"/>
      <color indexed="8"/>
      <name val="Arial"/>
      <family val="2"/>
    </font>
    <font>
      <b/>
      <sz val="12"/>
      <color indexed="12"/>
      <name val="Times New Roman"/>
      <family val="1"/>
    </font>
    <font>
      <b/>
      <i/>
      <sz val="12"/>
      <color indexed="8"/>
      <name val="Arial"/>
      <family val="2"/>
    </font>
    <font>
      <sz val="8"/>
      <name val="Arial"/>
    </font>
    <font>
      <b/>
      <vertAlign val="superscript"/>
      <sz val="10"/>
      <name val="Arial"/>
      <family val="2"/>
    </font>
    <font>
      <sz val="48"/>
      <color indexed="12"/>
      <name val="Arial"/>
      <family val="2"/>
    </font>
    <font>
      <sz val="24"/>
      <color indexed="12"/>
      <name val="Arial"/>
    </font>
    <font>
      <b/>
      <sz val="14"/>
      <name val="Arial"/>
      <family val="2"/>
    </font>
    <font>
      <sz val="8"/>
      <name val="Arial"/>
      <family val="2"/>
    </font>
    <font>
      <b/>
      <i/>
      <sz val="8"/>
      <name val="Arial"/>
      <family val="2"/>
    </font>
    <font>
      <b/>
      <sz val="8"/>
      <name val="Arial"/>
      <family val="2"/>
    </font>
    <font>
      <sz val="9"/>
      <name val="Arial"/>
      <family val="2"/>
    </font>
    <font>
      <sz val="8"/>
      <color indexed="8"/>
      <name val="Arial"/>
      <family val="2"/>
    </font>
    <font>
      <sz val="12"/>
      <color indexed="8"/>
      <name val="Arial"/>
      <family val="2"/>
    </font>
    <font>
      <sz val="12"/>
      <color indexed="8"/>
      <name val="Symbol"/>
      <family val="1"/>
      <charset val="2"/>
    </font>
    <font>
      <sz val="7"/>
      <color indexed="8"/>
      <name val="Times New Roman"/>
      <family val="1"/>
    </font>
    <font>
      <sz val="12"/>
      <name val="Symbol"/>
      <family val="1"/>
      <charset val="2"/>
    </font>
    <font>
      <sz val="7"/>
      <name val="Times New Roman"/>
      <family val="1"/>
    </font>
    <font>
      <i/>
      <sz val="12"/>
      <name val="Arial"/>
      <family val="2"/>
    </font>
    <font>
      <sz val="6"/>
      <name val="Arial"/>
      <family val="2"/>
    </font>
    <font>
      <sz val="12"/>
      <color indexed="8"/>
      <name val="Times New Roman"/>
      <family val="1"/>
    </font>
    <font>
      <vertAlign val="superscript"/>
      <sz val="12"/>
      <name val="Arial"/>
      <family val="2"/>
    </font>
    <font>
      <i/>
      <sz val="12"/>
      <color indexed="8"/>
      <name val="Arial"/>
      <family val="2"/>
    </font>
    <font>
      <i/>
      <sz val="6"/>
      <color indexed="8"/>
      <name val="Arial"/>
      <family val="2"/>
    </font>
    <font>
      <b/>
      <i/>
      <sz val="12"/>
      <name val="Arial"/>
      <family val="2"/>
    </font>
  </fonts>
  <fills count="6">
    <fill>
      <patternFill patternType="none"/>
    </fill>
    <fill>
      <patternFill patternType="gray125"/>
    </fill>
    <fill>
      <patternFill patternType="solid">
        <fgColor indexed="9"/>
        <bgColor indexed="64"/>
      </patternFill>
    </fill>
    <fill>
      <patternFill patternType="solid">
        <fgColor indexed="9"/>
        <bgColor indexed="63"/>
      </patternFill>
    </fill>
    <fill>
      <patternFill patternType="solid">
        <fgColor indexed="9"/>
        <bgColor indexed="9"/>
      </patternFill>
    </fill>
    <fill>
      <patternFill patternType="solid">
        <fgColor indexed="22"/>
        <bgColor indexed="64"/>
      </patternFill>
    </fill>
  </fills>
  <borders count="46">
    <border>
      <left/>
      <right/>
      <top/>
      <bottom/>
      <diagonal/>
    </border>
    <border>
      <left/>
      <right/>
      <top/>
      <bottom style="medium">
        <color indexed="64"/>
      </bottom>
      <diagonal/>
    </border>
    <border>
      <left style="thick">
        <color indexed="9"/>
      </left>
      <right/>
      <top/>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double">
        <color indexed="64"/>
      </bottom>
      <diagonal/>
    </border>
    <border>
      <left style="thin">
        <color indexed="64"/>
      </left>
      <right/>
      <top style="thin">
        <color indexed="64"/>
      </top>
      <bottom/>
      <diagonal/>
    </border>
    <border>
      <left style="thin">
        <color indexed="64"/>
      </left>
      <right/>
      <top/>
      <bottom/>
      <diagonal/>
    </border>
    <border>
      <left style="thick">
        <color indexed="9"/>
      </left>
      <right/>
      <top/>
      <bottom style="medium">
        <color indexed="8"/>
      </bottom>
      <diagonal/>
    </border>
    <border>
      <left style="thick">
        <color indexed="9"/>
      </left>
      <right/>
      <top style="thin">
        <color indexed="8"/>
      </top>
      <bottom/>
      <diagonal/>
    </border>
    <border>
      <left style="thick">
        <color indexed="9"/>
      </left>
      <right/>
      <top style="medium">
        <color indexed="8"/>
      </top>
      <bottom style="thin">
        <color indexed="8"/>
      </bottom>
      <diagonal/>
    </border>
    <border>
      <left/>
      <right/>
      <top style="medium">
        <color indexed="8"/>
      </top>
      <bottom/>
      <diagonal/>
    </border>
    <border>
      <left/>
      <right/>
      <top style="thin">
        <color indexed="8"/>
      </top>
      <bottom/>
      <diagonal/>
    </border>
    <border>
      <left/>
      <right/>
      <top/>
      <bottom style="medium">
        <color indexed="8"/>
      </bottom>
      <diagonal/>
    </border>
    <border>
      <left/>
      <right/>
      <top style="medium">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ck">
        <color indexed="9"/>
      </left>
      <right/>
      <top style="medium">
        <color indexed="8"/>
      </top>
      <bottom style="thick">
        <color indexed="9"/>
      </bottom>
      <diagonal/>
    </border>
    <border>
      <left style="thick">
        <color indexed="9"/>
      </left>
      <right/>
      <top style="thick">
        <color indexed="9"/>
      </top>
      <bottom style="thin">
        <color indexed="8"/>
      </bottom>
      <diagonal/>
    </border>
    <border>
      <left style="thick">
        <color indexed="9"/>
      </left>
      <right/>
      <top style="thick">
        <color indexed="9"/>
      </top>
      <bottom/>
      <diagonal/>
    </border>
    <border>
      <left style="thick">
        <color indexed="9"/>
      </left>
      <right/>
      <top style="medium">
        <color indexed="9"/>
      </top>
      <bottom/>
      <diagonal/>
    </border>
    <border>
      <left/>
      <right/>
      <top style="thick">
        <color indexed="9"/>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9"/>
      </left>
      <right/>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ck">
        <color indexed="9"/>
      </left>
      <right/>
      <top/>
      <bottom style="thin">
        <color indexed="8"/>
      </bottom>
      <diagonal/>
    </border>
    <border>
      <left/>
      <right/>
      <top style="thin">
        <color indexed="64"/>
      </top>
      <bottom/>
      <diagonal/>
    </border>
    <border>
      <left style="thick">
        <color indexed="9"/>
      </left>
      <right/>
      <top style="medium">
        <color indexed="8"/>
      </top>
      <bottom/>
      <diagonal/>
    </border>
    <border>
      <left/>
      <right/>
      <top style="medium">
        <color indexed="64"/>
      </top>
      <bottom style="thin">
        <color indexed="8"/>
      </bottom>
      <diagonal/>
    </border>
    <border>
      <left/>
      <right/>
      <top/>
      <bottom style="thin">
        <color indexed="8"/>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right/>
      <top style="thick">
        <color indexed="9"/>
      </top>
      <bottom style="thin">
        <color indexed="8"/>
      </bottom>
      <diagonal/>
    </border>
    <border>
      <left style="thick">
        <color indexed="9"/>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diagonal/>
    </border>
    <border>
      <left/>
      <right/>
      <top style="medium">
        <color indexed="64"/>
      </top>
      <bottom style="thick">
        <color indexed="9"/>
      </bottom>
      <diagonal/>
    </border>
  </borders>
  <cellStyleXfs count="2">
    <xf numFmtId="0" fontId="0" fillId="0" borderId="0"/>
    <xf numFmtId="0" fontId="12" fillId="0" borderId="0" applyNumberFormat="0" applyFill="0" applyBorder="0" applyAlignment="0" applyProtection="0">
      <alignment vertical="top"/>
      <protection locked="0"/>
    </xf>
  </cellStyleXfs>
  <cellXfs count="426">
    <xf numFmtId="0" fontId="0" fillId="0" borderId="0" xfId="0"/>
    <xf numFmtId="0" fontId="2" fillId="0" borderId="0" xfId="0" applyFont="1" applyBorder="1"/>
    <xf numFmtId="0" fontId="2" fillId="0" borderId="0" xfId="0" applyFont="1"/>
    <xf numFmtId="0" fontId="3" fillId="0" borderId="0" xfId="0" applyFont="1"/>
    <xf numFmtId="0" fontId="5" fillId="0" borderId="0" xfId="0" applyFont="1"/>
    <xf numFmtId="0" fontId="10" fillId="0" borderId="0" xfId="0" applyFont="1"/>
    <xf numFmtId="0" fontId="10" fillId="0" borderId="0" xfId="0" applyFont="1" applyFill="1"/>
    <xf numFmtId="0" fontId="10" fillId="0" borderId="0" xfId="0" applyFont="1" applyBorder="1"/>
    <xf numFmtId="0" fontId="11" fillId="0" borderId="1" xfId="0" applyFont="1" applyBorder="1" applyAlignment="1">
      <alignment horizontal="left" indent="2"/>
    </xf>
    <xf numFmtId="0" fontId="11" fillId="0" borderId="1" xfId="0" applyFont="1" applyBorder="1" applyAlignment="1">
      <alignment horizontal="center"/>
    </xf>
    <xf numFmtId="0" fontId="11" fillId="0" borderId="1" xfId="0" applyFont="1" applyBorder="1" applyAlignment="1">
      <alignment horizontal="center" wrapText="1"/>
    </xf>
    <xf numFmtId="0" fontId="10" fillId="0" borderId="1" xfId="0" applyFont="1" applyBorder="1"/>
    <xf numFmtId="0" fontId="11" fillId="0" borderId="1" xfId="0" applyFont="1" applyBorder="1"/>
    <xf numFmtId="0" fontId="11" fillId="0" borderId="1" xfId="0" applyFont="1" applyFill="1" applyBorder="1"/>
    <xf numFmtId="0" fontId="10" fillId="0" borderId="0" xfId="0" applyFont="1" applyFill="1" applyBorder="1"/>
    <xf numFmtId="0" fontId="0" fillId="0" borderId="0" xfId="0" applyFill="1" applyBorder="1"/>
    <xf numFmtId="0" fontId="10" fillId="0" borderId="0" xfId="0" applyFont="1" applyAlignment="1">
      <alignment horizontal="center"/>
    </xf>
    <xf numFmtId="0" fontId="14" fillId="0" borderId="0" xfId="0" applyFont="1"/>
    <xf numFmtId="0" fontId="10" fillId="2" borderId="0" xfId="0" applyFont="1" applyFill="1" applyBorder="1"/>
    <xf numFmtId="0" fontId="15" fillId="0" borderId="0" xfId="0" applyFont="1" applyAlignment="1">
      <alignment horizontal="left"/>
    </xf>
    <xf numFmtId="0" fontId="0" fillId="2" borderId="0" xfId="0" applyFill="1"/>
    <xf numFmtId="0" fontId="0" fillId="0" borderId="0" xfId="0" applyFill="1"/>
    <xf numFmtId="0" fontId="16" fillId="0" borderId="2" xfId="0" applyFont="1" applyFill="1" applyBorder="1" applyProtection="1"/>
    <xf numFmtId="0" fontId="4" fillId="0" borderId="0" xfId="0" applyFont="1" applyFill="1" applyBorder="1" applyProtection="1"/>
    <xf numFmtId="0" fontId="4" fillId="0" borderId="2" xfId="0" applyFont="1" applyFill="1" applyBorder="1" applyProtection="1"/>
    <xf numFmtId="0" fontId="9" fillId="0" borderId="0" xfId="0" applyFont="1" applyFill="1" applyBorder="1" applyProtection="1"/>
    <xf numFmtId="0" fontId="17" fillId="0" borderId="0" xfId="0" applyFont="1" applyFill="1" applyBorder="1" applyAlignment="1" applyProtection="1">
      <alignment vertical="center"/>
    </xf>
    <xf numFmtId="0" fontId="4" fillId="0" borderId="0" xfId="0" applyFont="1" applyFill="1" applyBorder="1" applyAlignment="1" applyProtection="1">
      <alignment vertical="top"/>
    </xf>
    <xf numFmtId="0" fontId="10" fillId="0" borderId="0" xfId="0" applyFont="1" applyFill="1" applyBorder="1" applyProtection="1"/>
    <xf numFmtId="0" fontId="16" fillId="0" borderId="0" xfId="0" applyFont="1" applyFill="1" applyBorder="1" applyAlignment="1" applyProtection="1">
      <alignment vertical="center"/>
    </xf>
    <xf numFmtId="0" fontId="7" fillId="0" borderId="0" xfId="0" applyFont="1" applyFill="1" applyBorder="1" applyAlignment="1" applyProtection="1"/>
    <xf numFmtId="0" fontId="18" fillId="0" borderId="0" xfId="0" applyFont="1" applyFill="1" applyBorder="1" applyProtection="1"/>
    <xf numFmtId="0" fontId="16" fillId="0" borderId="0" xfId="0" applyFont="1" applyFill="1" applyBorder="1" applyProtection="1"/>
    <xf numFmtId="0" fontId="10" fillId="0" borderId="2" xfId="0" applyFont="1" applyFill="1" applyBorder="1" applyProtection="1"/>
    <xf numFmtId="0" fontId="6" fillId="0" borderId="0" xfId="0" applyFont="1" applyFill="1" applyBorder="1" applyAlignment="1" applyProtection="1">
      <alignment vertical="center"/>
    </xf>
    <xf numFmtId="0" fontId="13" fillId="0" borderId="1" xfId="0" applyFont="1" applyBorder="1" applyAlignment="1">
      <alignment horizontal="left" indent="2"/>
    </xf>
    <xf numFmtId="0" fontId="13" fillId="0" borderId="1" xfId="0" applyFont="1" applyBorder="1" applyAlignment="1">
      <alignment horizontal="center"/>
    </xf>
    <xf numFmtId="0" fontId="13" fillId="0" borderId="1" xfId="0" applyFont="1" applyBorder="1" applyAlignment="1">
      <alignment horizontal="center" wrapText="1"/>
    </xf>
    <xf numFmtId="0" fontId="13" fillId="0" borderId="1" xfId="0" applyFont="1" applyBorder="1"/>
    <xf numFmtId="0" fontId="13" fillId="0" borderId="1" xfId="0" applyFont="1" applyFill="1" applyBorder="1"/>
    <xf numFmtId="0" fontId="2" fillId="2" borderId="0" xfId="0" applyFont="1" applyFill="1" applyBorder="1"/>
    <xf numFmtId="0" fontId="8" fillId="0" borderId="0" xfId="0" applyFont="1"/>
    <xf numFmtId="0" fontId="3" fillId="0" borderId="0" xfId="0" applyFont="1" applyAlignment="1">
      <alignment horizontal="right"/>
    </xf>
    <xf numFmtId="0" fontId="20" fillId="0" borderId="1" xfId="0" applyFont="1" applyBorder="1" applyAlignment="1">
      <alignment horizontal="left" indent="2"/>
    </xf>
    <xf numFmtId="0" fontId="21" fillId="0" borderId="0" xfId="0" applyFont="1"/>
    <xf numFmtId="0" fontId="3" fillId="0" borderId="0" xfId="0" applyFont="1" applyFill="1"/>
    <xf numFmtId="0" fontId="21" fillId="0" borderId="0" xfId="0" applyFont="1" applyFill="1"/>
    <xf numFmtId="0" fontId="22" fillId="3" borderId="2" xfId="0" applyFont="1" applyFill="1" applyBorder="1" applyProtection="1"/>
    <xf numFmtId="0" fontId="22" fillId="3" borderId="0" xfId="0" applyFont="1" applyFill="1" applyBorder="1" applyProtection="1"/>
    <xf numFmtId="0" fontId="21" fillId="2" borderId="2" xfId="0" applyFont="1" applyFill="1" applyBorder="1" applyProtection="1"/>
    <xf numFmtId="0" fontId="19" fillId="2" borderId="0" xfId="0" applyFont="1" applyFill="1" applyAlignment="1" applyProtection="1">
      <alignment horizontal="right"/>
    </xf>
    <xf numFmtId="0" fontId="22" fillId="0" borderId="2" xfId="0" applyFont="1" applyFill="1" applyBorder="1" applyProtection="1"/>
    <xf numFmtId="0" fontId="22" fillId="0" borderId="2" xfId="0" applyFont="1" applyFill="1" applyBorder="1" applyAlignment="1">
      <alignment horizontal="left"/>
    </xf>
    <xf numFmtId="0" fontId="22" fillId="3" borderId="2" xfId="0" applyFont="1" applyFill="1" applyBorder="1" applyAlignment="1" applyProtection="1">
      <alignment horizontal="left"/>
    </xf>
    <xf numFmtId="0" fontId="22" fillId="3" borderId="0" xfId="0" applyFont="1" applyFill="1" applyBorder="1" applyAlignment="1" applyProtection="1">
      <alignment horizontal="left"/>
    </xf>
    <xf numFmtId="0" fontId="2" fillId="0" borderId="0" xfId="0" applyFont="1" applyAlignment="1">
      <alignment horizontal="center" vertical="top" wrapText="1"/>
    </xf>
    <xf numFmtId="0" fontId="3" fillId="0" borderId="3" xfId="0" applyFont="1" applyBorder="1"/>
    <xf numFmtId="0" fontId="2" fillId="0" borderId="3" xfId="0" applyFont="1" applyBorder="1" applyAlignment="1">
      <alignment horizontal="right"/>
    </xf>
    <xf numFmtId="3" fontId="3" fillId="0" borderId="0" xfId="0" applyNumberFormat="1" applyFont="1"/>
    <xf numFmtId="3" fontId="2" fillId="0" borderId="0" xfId="0" applyNumberFormat="1" applyFont="1"/>
    <xf numFmtId="3" fontId="3" fillId="0" borderId="0" xfId="0" applyNumberFormat="1" applyFont="1" applyAlignment="1">
      <alignment horizontal="right"/>
    </xf>
    <xf numFmtId="0" fontId="2" fillId="0" borderId="4" xfId="0" applyFont="1" applyBorder="1" applyAlignment="1">
      <alignment horizontal="right"/>
    </xf>
    <xf numFmtId="0" fontId="3" fillId="0" borderId="0" xfId="0" applyFont="1" applyBorder="1"/>
    <xf numFmtId="0" fontId="2" fillId="0" borderId="4" xfId="0" applyFont="1" applyFill="1" applyBorder="1"/>
    <xf numFmtId="0" fontId="2" fillId="0" borderId="0" xfId="0" applyFont="1" applyFill="1"/>
    <xf numFmtId="0" fontId="2" fillId="0" borderId="5" xfId="0" applyFont="1" applyBorder="1" applyAlignment="1">
      <alignment horizontal="center" vertical="top" wrapText="1"/>
    </xf>
    <xf numFmtId="0" fontId="2" fillId="0" borderId="4" xfId="0" applyFont="1" applyBorder="1"/>
    <xf numFmtId="3" fontId="3" fillId="0" borderId="5" xfId="0" applyNumberFormat="1" applyFont="1" applyBorder="1"/>
    <xf numFmtId="3" fontId="3" fillId="0" borderId="6" xfId="0" applyNumberFormat="1" applyFont="1" applyBorder="1"/>
    <xf numFmtId="0" fontId="2" fillId="0" borderId="5" xfId="0" applyFont="1" applyBorder="1" applyAlignment="1">
      <alignment horizontal="center"/>
    </xf>
    <xf numFmtId="0" fontId="2" fillId="0" borderId="7" xfId="0" applyFont="1" applyBorder="1" applyAlignment="1">
      <alignment horizontal="center"/>
    </xf>
    <xf numFmtId="0" fontId="2" fillId="0" borderId="8" xfId="0" applyFont="1" applyBorder="1"/>
    <xf numFmtId="3" fontId="3" fillId="0" borderId="0" xfId="0" applyNumberFormat="1" applyFont="1" applyBorder="1"/>
    <xf numFmtId="0" fontId="3" fillId="0" borderId="9" xfId="0" applyFont="1" applyBorder="1"/>
    <xf numFmtId="0" fontId="2" fillId="0" borderId="8" xfId="0" applyFont="1" applyBorder="1" applyAlignment="1">
      <alignment horizontal="right"/>
    </xf>
    <xf numFmtId="3" fontId="3" fillId="0" borderId="10" xfId="0" applyNumberFormat="1" applyFont="1" applyBorder="1"/>
    <xf numFmtId="3" fontId="3" fillId="0" borderId="11" xfId="0" applyNumberFormat="1" applyFont="1" applyBorder="1"/>
    <xf numFmtId="0" fontId="3" fillId="0" borderId="6" xfId="0" applyFont="1" applyBorder="1"/>
    <xf numFmtId="0" fontId="19" fillId="2" borderId="2" xfId="0" applyFont="1" applyFill="1" applyBorder="1" applyProtection="1"/>
    <xf numFmtId="0" fontId="23" fillId="2" borderId="2" xfId="0" applyFont="1" applyFill="1" applyBorder="1" applyProtection="1"/>
    <xf numFmtId="0" fontId="19" fillId="2" borderId="12" xfId="0" applyFont="1" applyFill="1" applyBorder="1" applyAlignment="1" applyProtection="1">
      <alignment vertical="top"/>
    </xf>
    <xf numFmtId="0" fontId="3" fillId="2" borderId="2" xfId="0" applyFont="1" applyFill="1" applyBorder="1" applyProtection="1"/>
    <xf numFmtId="0" fontId="3" fillId="2" borderId="0" xfId="0" applyFont="1" applyFill="1" applyBorder="1" applyProtection="1"/>
    <xf numFmtId="0" fontId="23" fillId="3" borderId="2" xfId="0" applyFont="1" applyFill="1" applyBorder="1" applyProtection="1"/>
    <xf numFmtId="0" fontId="23" fillId="2" borderId="13" xfId="0" applyFont="1" applyFill="1" applyBorder="1" applyAlignment="1" applyProtection="1"/>
    <xf numFmtId="0" fontId="3" fillId="2" borderId="0" xfId="0" applyFont="1" applyFill="1"/>
    <xf numFmtId="0" fontId="19" fillId="0" borderId="0" xfId="0" applyFont="1" applyFill="1" applyBorder="1" applyAlignment="1" applyProtection="1">
      <alignment horizontal="right"/>
    </xf>
    <xf numFmtId="0" fontId="19" fillId="0" borderId="0" xfId="0" applyFont="1" applyFill="1" applyBorder="1" applyAlignment="1" applyProtection="1">
      <alignment vertical="center"/>
    </xf>
    <xf numFmtId="0" fontId="23" fillId="0" borderId="2" xfId="0" applyFont="1" applyFill="1" applyBorder="1" applyProtection="1"/>
    <xf numFmtId="0" fontId="19" fillId="0" borderId="2" xfId="0" applyFont="1" applyFill="1" applyBorder="1" applyAlignment="1" applyProtection="1">
      <alignment horizontal="left"/>
    </xf>
    <xf numFmtId="0" fontId="23" fillId="0" borderId="2" xfId="0" applyFont="1" applyFill="1" applyBorder="1" applyAlignment="1" applyProtection="1">
      <alignment horizontal="left"/>
    </xf>
    <xf numFmtId="0" fontId="19" fillId="0" borderId="2" xfId="0" applyFont="1" applyFill="1" applyBorder="1" applyAlignment="1" applyProtection="1">
      <alignment horizontal="right"/>
    </xf>
    <xf numFmtId="0" fontId="19" fillId="0" borderId="2" xfId="0" applyFont="1" applyFill="1" applyBorder="1" applyProtection="1"/>
    <xf numFmtId="0" fontId="19" fillId="0" borderId="0" xfId="0" applyFont="1" applyFill="1" applyProtection="1"/>
    <xf numFmtId="0" fontId="19" fillId="0" borderId="14" xfId="0" applyFont="1" applyFill="1" applyBorder="1" applyAlignment="1">
      <alignment vertical="center"/>
    </xf>
    <xf numFmtId="0" fontId="19" fillId="0" borderId="13" xfId="0" applyFont="1" applyFill="1" applyBorder="1" applyAlignment="1">
      <alignment vertical="center"/>
    </xf>
    <xf numFmtId="0" fontId="19" fillId="0" borderId="2" xfId="0" applyFont="1" applyFill="1" applyBorder="1" applyAlignment="1">
      <alignment vertical="top"/>
    </xf>
    <xf numFmtId="0" fontId="19" fillId="0" borderId="12" xfId="0" applyFont="1" applyFill="1" applyBorder="1" applyAlignment="1">
      <alignment vertical="top" wrapText="1"/>
    </xf>
    <xf numFmtId="0" fontId="19" fillId="0" borderId="2" xfId="0" applyFont="1" applyFill="1" applyBorder="1"/>
    <xf numFmtId="0" fontId="19" fillId="0" borderId="0" xfId="0" applyFont="1" applyFill="1" applyBorder="1"/>
    <xf numFmtId="0" fontId="23" fillId="0" borderId="2" xfId="0" applyFont="1" applyFill="1" applyBorder="1" applyAlignment="1">
      <alignment horizontal="left"/>
    </xf>
    <xf numFmtId="0" fontId="23" fillId="4" borderId="15" xfId="0" applyFont="1" applyFill="1" applyBorder="1" applyAlignment="1">
      <alignment horizontal="center" vertical="center"/>
    </xf>
    <xf numFmtId="0" fontId="19" fillId="2" borderId="16" xfId="0" applyFont="1" applyFill="1" applyBorder="1" applyAlignment="1" applyProtection="1"/>
    <xf numFmtId="0" fontId="19" fillId="2" borderId="2" xfId="0" applyFont="1" applyFill="1" applyBorder="1" applyAlignment="1" applyProtection="1"/>
    <xf numFmtId="0" fontId="19" fillId="2" borderId="0" xfId="0" applyFont="1" applyFill="1" applyBorder="1" applyAlignment="1" applyProtection="1"/>
    <xf numFmtId="0" fontId="23" fillId="2" borderId="0" xfId="0" applyFont="1" applyFill="1" applyBorder="1" applyAlignment="1" applyProtection="1"/>
    <xf numFmtId="0" fontId="19" fillId="2" borderId="0" xfId="0" applyFont="1" applyFill="1" applyBorder="1" applyAlignment="1" applyProtection="1">
      <alignment horizontal="center"/>
    </xf>
    <xf numFmtId="0" fontId="23" fillId="2" borderId="17" xfId="0" applyFont="1" applyFill="1" applyBorder="1" applyAlignment="1" applyProtection="1">
      <alignment vertical="top"/>
    </xf>
    <xf numFmtId="0" fontId="23" fillId="3" borderId="2" xfId="0" applyFont="1" applyFill="1" applyBorder="1" applyAlignment="1" applyProtection="1">
      <alignment horizontal="left"/>
    </xf>
    <xf numFmtId="0" fontId="23" fillId="3" borderId="0" xfId="0" applyFont="1" applyFill="1" applyBorder="1" applyAlignment="1" applyProtection="1">
      <alignment horizontal="left"/>
    </xf>
    <xf numFmtId="0" fontId="23" fillId="4" borderId="18" xfId="0" applyFont="1" applyFill="1" applyBorder="1" applyAlignment="1">
      <alignment horizontal="center" vertical="center"/>
    </xf>
    <xf numFmtId="0" fontId="25" fillId="0" borderId="1" xfId="0" applyFont="1" applyBorder="1"/>
    <xf numFmtId="3" fontId="25" fillId="0" borderId="1" xfId="0" applyNumberFormat="1" applyFont="1" applyBorder="1"/>
    <xf numFmtId="3" fontId="25" fillId="0" borderId="19" xfId="0" applyNumberFormat="1" applyFont="1" applyBorder="1"/>
    <xf numFmtId="3" fontId="25" fillId="0" borderId="20" xfId="0" applyNumberFormat="1" applyFont="1" applyBorder="1"/>
    <xf numFmtId="3" fontId="25" fillId="0" borderId="1" xfId="0" applyNumberFormat="1" applyFont="1" applyBorder="1" applyAlignment="1">
      <alignment horizontal="right"/>
    </xf>
    <xf numFmtId="3" fontId="25" fillId="0" borderId="21" xfId="0" applyNumberFormat="1" applyFont="1" applyBorder="1"/>
    <xf numFmtId="0" fontId="23" fillId="2" borderId="2" xfId="0" applyFont="1" applyFill="1" applyBorder="1" applyAlignment="1" applyProtection="1"/>
    <xf numFmtId="0" fontId="23" fillId="2" borderId="12" xfId="0" applyFont="1" applyFill="1" applyBorder="1" applyAlignment="1" applyProtection="1">
      <alignment vertical="top"/>
    </xf>
    <xf numFmtId="0" fontId="19" fillId="0" borderId="22" xfId="0" applyFont="1" applyFill="1" applyBorder="1" applyAlignment="1" applyProtection="1">
      <alignment vertical="center"/>
    </xf>
    <xf numFmtId="0" fontId="19" fillId="0" borderId="23" xfId="0" applyFont="1" applyFill="1" applyBorder="1" applyAlignment="1" applyProtection="1">
      <alignment vertical="center"/>
    </xf>
    <xf numFmtId="0" fontId="27" fillId="3" borderId="24" xfId="0" applyFont="1" applyFill="1" applyBorder="1" applyProtection="1"/>
    <xf numFmtId="0" fontId="27" fillId="3" borderId="2" xfId="0" applyFont="1" applyFill="1" applyBorder="1" applyProtection="1"/>
    <xf numFmtId="0" fontId="28" fillId="2" borderId="0" xfId="0" applyFont="1" applyFill="1"/>
    <xf numFmtId="0" fontId="28" fillId="0" borderId="0" xfId="0" applyFont="1"/>
    <xf numFmtId="0" fontId="27" fillId="3" borderId="25" xfId="0" applyFont="1" applyFill="1" applyBorder="1" applyProtection="1"/>
    <xf numFmtId="0" fontId="29" fillId="2" borderId="0" xfId="0" applyFont="1" applyFill="1"/>
    <xf numFmtId="0" fontId="29" fillId="0" borderId="0" xfId="0" applyFont="1"/>
    <xf numFmtId="0" fontId="27" fillId="3" borderId="24" xfId="0" applyFont="1" applyFill="1" applyBorder="1" applyAlignment="1" applyProtection="1">
      <alignment horizontal="left"/>
    </xf>
    <xf numFmtId="0" fontId="27" fillId="3" borderId="26" xfId="0" applyFont="1" applyFill="1" applyBorder="1" applyAlignment="1" applyProtection="1">
      <alignment horizontal="left"/>
    </xf>
    <xf numFmtId="0" fontId="25" fillId="0" borderId="0" xfId="0" applyFont="1" applyBorder="1" applyAlignment="1">
      <alignment horizontal="left"/>
    </xf>
    <xf numFmtId="0" fontId="29" fillId="0" borderId="0" xfId="0" applyFont="1" applyBorder="1"/>
    <xf numFmtId="0" fontId="25" fillId="0" borderId="0" xfId="0" applyFont="1" applyBorder="1"/>
    <xf numFmtId="0" fontId="29" fillId="0" borderId="0" xfId="0" applyFont="1" applyFill="1"/>
    <xf numFmtId="0" fontId="25" fillId="0" borderId="0" xfId="0" applyFont="1"/>
    <xf numFmtId="0" fontId="25" fillId="0" borderId="0" xfId="0" applyFont="1" applyFill="1"/>
    <xf numFmtId="0" fontId="27" fillId="3" borderId="26" xfId="0" applyFont="1" applyFill="1" applyBorder="1" applyProtection="1"/>
    <xf numFmtId="0" fontId="27" fillId="0" borderId="24" xfId="0" applyFont="1" applyFill="1" applyBorder="1" applyAlignment="1">
      <alignment horizontal="left"/>
    </xf>
    <xf numFmtId="0" fontId="27" fillId="0" borderId="2" xfId="0" applyFont="1" applyFill="1" applyBorder="1" applyAlignment="1">
      <alignment horizontal="left"/>
    </xf>
    <xf numFmtId="0" fontId="31" fillId="0" borderId="0" xfId="0" applyFont="1" applyFill="1" applyBorder="1" applyAlignment="1" applyProtection="1">
      <alignment horizontal="right"/>
    </xf>
    <xf numFmtId="0" fontId="23" fillId="0" borderId="0" xfId="0" applyFont="1" applyFill="1" applyBorder="1" applyAlignment="1" applyProtection="1">
      <alignment vertical="center"/>
    </xf>
    <xf numFmtId="0" fontId="27" fillId="0" borderId="24" xfId="0" applyFont="1" applyFill="1" applyBorder="1" applyProtection="1"/>
    <xf numFmtId="0" fontId="2" fillId="0" borderId="0" xfId="0" applyFont="1" applyAlignment="1">
      <alignment horizontal="center"/>
    </xf>
    <xf numFmtId="3" fontId="19" fillId="2" borderId="0" xfId="0" applyNumberFormat="1" applyFont="1" applyFill="1" applyBorder="1" applyAlignment="1" applyProtection="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19" fillId="2" borderId="0" xfId="0" applyFont="1" applyFill="1" applyBorder="1" applyAlignment="1" applyProtection="1">
      <alignment horizontal="left" vertical="top"/>
    </xf>
    <xf numFmtId="0" fontId="19" fillId="0" borderId="0" xfId="0" applyFont="1" applyFill="1"/>
    <xf numFmtId="0" fontId="19" fillId="2" borderId="29" xfId="0" applyFont="1" applyFill="1" applyBorder="1" applyAlignment="1" applyProtection="1">
      <alignment horizontal="left"/>
    </xf>
    <xf numFmtId="0" fontId="19" fillId="2" borderId="0" xfId="0" applyFont="1" applyFill="1"/>
    <xf numFmtId="0" fontId="19" fillId="2" borderId="0" xfId="0" applyFont="1" applyFill="1" applyBorder="1"/>
    <xf numFmtId="0" fontId="19" fillId="4" borderId="0" xfId="0" applyFont="1" applyFill="1" applyBorder="1" applyProtection="1"/>
    <xf numFmtId="0" fontId="19" fillId="0" borderId="0" xfId="0" applyFont="1"/>
    <xf numFmtId="3" fontId="3" fillId="2" borderId="0" xfId="0" applyNumberFormat="1" applyFont="1" applyFill="1" applyAlignment="1">
      <alignment horizontal="right"/>
    </xf>
    <xf numFmtId="0" fontId="3" fillId="5" borderId="0" xfId="0" applyFont="1" applyFill="1"/>
    <xf numFmtId="3" fontId="3" fillId="5" borderId="0" xfId="0" applyNumberFormat="1" applyFont="1" applyFill="1" applyAlignment="1">
      <alignment horizontal="right"/>
    </xf>
    <xf numFmtId="3" fontId="3" fillId="5" borderId="0" xfId="0" applyNumberFormat="1" applyFont="1" applyFill="1"/>
    <xf numFmtId="3" fontId="3" fillId="5" borderId="5" xfId="0" applyNumberFormat="1" applyFont="1" applyFill="1" applyBorder="1"/>
    <xf numFmtId="3" fontId="3" fillId="5" borderId="6" xfId="0" applyNumberFormat="1" applyFont="1" applyFill="1" applyBorder="1"/>
    <xf numFmtId="3" fontId="3" fillId="5" borderId="5" xfId="0" applyNumberFormat="1" applyFont="1" applyFill="1" applyBorder="1" applyAlignment="1">
      <alignment horizontal="right"/>
    </xf>
    <xf numFmtId="3" fontId="3" fillId="5" borderId="0" xfId="0" applyNumberFormat="1" applyFont="1" applyFill="1" applyBorder="1" applyAlignment="1">
      <alignment horizontal="right"/>
    </xf>
    <xf numFmtId="3" fontId="3" fillId="2" borderId="5" xfId="0" applyNumberFormat="1" applyFont="1" applyFill="1" applyBorder="1" applyAlignment="1">
      <alignment horizontal="right"/>
    </xf>
    <xf numFmtId="3" fontId="3" fillId="2" borderId="0" xfId="0" applyNumberFormat="1" applyFont="1" applyFill="1" applyBorder="1" applyAlignment="1">
      <alignment horizontal="right"/>
    </xf>
    <xf numFmtId="0" fontId="10" fillId="2" borderId="0" xfId="0" applyFont="1" applyFill="1" applyAlignment="1">
      <alignment horizontal="right"/>
    </xf>
    <xf numFmtId="0" fontId="10" fillId="2" borderId="0" xfId="0" applyFont="1" applyFill="1"/>
    <xf numFmtId="0" fontId="3" fillId="5" borderId="6" xfId="0" applyFont="1" applyFill="1" applyBorder="1"/>
    <xf numFmtId="3" fontId="3" fillId="5" borderId="0" xfId="0" applyNumberFormat="1" applyFont="1" applyFill="1" applyBorder="1"/>
    <xf numFmtId="3" fontId="3" fillId="5" borderId="11" xfId="0" applyNumberFormat="1" applyFont="1" applyFill="1" applyBorder="1"/>
    <xf numFmtId="0" fontId="3" fillId="2" borderId="6" xfId="0" applyFont="1" applyFill="1" applyBorder="1"/>
    <xf numFmtId="3" fontId="3" fillId="2" borderId="0" xfId="0" applyNumberFormat="1" applyFont="1" applyFill="1" applyBorder="1"/>
    <xf numFmtId="3" fontId="3" fillId="2" borderId="6" xfId="0" applyNumberFormat="1" applyFont="1" applyFill="1" applyBorder="1"/>
    <xf numFmtId="3" fontId="3" fillId="2" borderId="5" xfId="0" applyNumberFormat="1" applyFont="1" applyFill="1" applyBorder="1"/>
    <xf numFmtId="3" fontId="3" fillId="2" borderId="11" xfId="0" applyNumberFormat="1" applyFont="1" applyFill="1" applyBorder="1"/>
    <xf numFmtId="0" fontId="3" fillId="5" borderId="0" xfId="0" applyFont="1" applyFill="1" applyBorder="1"/>
    <xf numFmtId="0" fontId="2" fillId="0" borderId="0" xfId="0" applyFont="1" applyAlignment="1"/>
    <xf numFmtId="0" fontId="2" fillId="0" borderId="5" xfId="0" applyFont="1" applyBorder="1" applyAlignment="1">
      <alignment horizontal="center" wrapText="1"/>
    </xf>
    <xf numFmtId="0" fontId="2" fillId="0" borderId="28" xfId="0" applyFont="1" applyBorder="1" applyAlignment="1"/>
    <xf numFmtId="0" fontId="2" fillId="0" borderId="8" xfId="0" applyFont="1" applyBorder="1" applyAlignment="1"/>
    <xf numFmtId="0" fontId="2" fillId="0" borderId="0" xfId="0" applyFont="1" applyBorder="1" applyAlignment="1"/>
    <xf numFmtId="0" fontId="23" fillId="4" borderId="14" xfId="0" applyFont="1" applyFill="1" applyBorder="1" applyAlignment="1" applyProtection="1"/>
    <xf numFmtId="0" fontId="23" fillId="4" borderId="14" xfId="0" applyFont="1" applyFill="1" applyBorder="1" applyAlignment="1" applyProtection="1">
      <alignment horizontal="right"/>
    </xf>
    <xf numFmtId="0" fontId="25" fillId="0" borderId="1" xfId="0" applyFont="1" applyFill="1" applyBorder="1"/>
    <xf numFmtId="0" fontId="27" fillId="0" borderId="12" xfId="0" applyFont="1" applyFill="1" applyBorder="1" applyAlignment="1" applyProtection="1">
      <alignment horizontal="left" vertical="top"/>
    </xf>
    <xf numFmtId="0" fontId="2" fillId="0" borderId="18" xfId="0" applyFont="1" applyFill="1" applyBorder="1" applyAlignment="1">
      <alignment horizontal="center"/>
    </xf>
    <xf numFmtId="0" fontId="23" fillId="0" borderId="0" xfId="0" applyFont="1" applyBorder="1" applyAlignment="1">
      <alignment horizontal="left" indent="2"/>
    </xf>
    <xf numFmtId="0" fontId="23" fillId="0" borderId="18" xfId="0" applyFont="1" applyBorder="1" applyAlignment="1">
      <alignment horizontal="right"/>
    </xf>
    <xf numFmtId="0" fontId="19" fillId="0" borderId="4" xfId="0" applyFont="1" applyBorder="1"/>
    <xf numFmtId="0" fontId="23" fillId="0" borderId="4" xfId="0" applyFont="1" applyBorder="1" applyAlignment="1">
      <alignment horizontal="right"/>
    </xf>
    <xf numFmtId="0" fontId="10" fillId="0" borderId="0" xfId="0" applyFont="1" applyAlignment="1">
      <alignment horizontal="right"/>
    </xf>
    <xf numFmtId="3" fontId="23" fillId="2" borderId="0" xfId="0" applyNumberFormat="1" applyFont="1" applyFill="1" applyBorder="1" applyAlignment="1" applyProtection="1">
      <alignment horizontal="center"/>
    </xf>
    <xf numFmtId="0" fontId="0" fillId="0" borderId="0" xfId="0" applyFill="1" applyAlignment="1">
      <alignment horizontal="right"/>
    </xf>
    <xf numFmtId="0" fontId="3" fillId="0" borderId="0" xfId="0" applyFont="1" applyFill="1" applyAlignment="1">
      <alignment horizontal="right"/>
    </xf>
    <xf numFmtId="0" fontId="2" fillId="0" borderId="30" xfId="0" applyFont="1" applyBorder="1" applyAlignment="1">
      <alignment horizontal="center" wrapText="1"/>
    </xf>
    <xf numFmtId="0" fontId="2" fillId="0" borderId="31" xfId="0" applyFont="1" applyBorder="1" applyAlignment="1">
      <alignment horizontal="center" wrapText="1"/>
    </xf>
    <xf numFmtId="3" fontId="25" fillId="0" borderId="0" xfId="0" applyNumberFormat="1" applyFont="1" applyBorder="1"/>
    <xf numFmtId="3" fontId="19" fillId="0" borderId="0" xfId="0" applyNumberFormat="1" applyFont="1" applyFill="1" applyAlignment="1">
      <alignment horizontal="right"/>
    </xf>
    <xf numFmtId="3" fontId="23" fillId="0" borderId="0" xfId="0" applyNumberFormat="1" applyFont="1" applyFill="1" applyAlignment="1">
      <alignment horizontal="right"/>
    </xf>
    <xf numFmtId="3" fontId="10" fillId="0" borderId="0" xfId="0" applyNumberFormat="1" applyFont="1" applyAlignment="1">
      <alignment horizontal="center"/>
    </xf>
    <xf numFmtId="0" fontId="23" fillId="0" borderId="28" xfId="0" applyFont="1" applyBorder="1" applyAlignment="1">
      <alignment horizontal="right"/>
    </xf>
    <xf numFmtId="0" fontId="19" fillId="0" borderId="0" xfId="0" applyFont="1" applyFill="1" applyAlignment="1">
      <alignment horizontal="right"/>
    </xf>
    <xf numFmtId="0" fontId="23" fillId="0" borderId="0" xfId="0" applyFont="1" applyBorder="1" applyAlignment="1">
      <alignment horizontal="right"/>
    </xf>
    <xf numFmtId="0" fontId="31" fillId="0" borderId="0" xfId="0" applyFont="1" applyBorder="1" applyAlignment="1">
      <alignment horizontal="right"/>
    </xf>
    <xf numFmtId="0" fontId="31" fillId="0" borderId="0" xfId="0" applyFont="1" applyFill="1"/>
    <xf numFmtId="3" fontId="27" fillId="0" borderId="1" xfId="0" applyNumberFormat="1" applyFont="1" applyBorder="1" applyAlignment="1">
      <alignment horizontal="right"/>
    </xf>
    <xf numFmtId="174" fontId="32" fillId="0" borderId="1" xfId="0" applyNumberFormat="1" applyFont="1" applyFill="1" applyBorder="1" applyAlignment="1">
      <alignment horizontal="right"/>
    </xf>
    <xf numFmtId="3" fontId="3" fillId="2" borderId="0" xfId="0" applyNumberFormat="1" applyFont="1" applyFill="1"/>
    <xf numFmtId="3" fontId="2" fillId="2" borderId="0" xfId="0" applyNumberFormat="1" applyFont="1" applyFill="1"/>
    <xf numFmtId="3" fontId="25" fillId="2" borderId="1" xfId="0" applyNumberFormat="1" applyFont="1" applyFill="1" applyBorder="1"/>
    <xf numFmtId="0" fontId="3" fillId="5" borderId="9" xfId="0" applyFont="1" applyFill="1" applyBorder="1"/>
    <xf numFmtId="0" fontId="3" fillId="2" borderId="0" xfId="0" applyFont="1" applyFill="1" applyBorder="1"/>
    <xf numFmtId="0" fontId="25" fillId="2" borderId="0" xfId="0" applyFont="1" applyFill="1" applyBorder="1"/>
    <xf numFmtId="0" fontId="25" fillId="2" borderId="0" xfId="0" applyFont="1" applyFill="1" applyBorder="1" applyAlignment="1">
      <alignment horizontal="left"/>
    </xf>
    <xf numFmtId="0" fontId="29" fillId="2" borderId="0" xfId="0" applyFont="1" applyFill="1" applyBorder="1"/>
    <xf numFmtId="0" fontId="11" fillId="2" borderId="0" xfId="0" applyFont="1" applyFill="1" applyBorder="1" applyAlignment="1">
      <alignment horizontal="center"/>
    </xf>
    <xf numFmtId="0" fontId="11" fillId="2" borderId="0" xfId="0" applyFont="1" applyFill="1" applyBorder="1" applyAlignment="1">
      <alignment horizontal="center" wrapText="1"/>
    </xf>
    <xf numFmtId="0" fontId="11" fillId="2" borderId="0" xfId="0" applyFont="1" applyFill="1" applyBorder="1"/>
    <xf numFmtId="0" fontId="11" fillId="2" borderId="0" xfId="0" applyFont="1" applyFill="1" applyBorder="1" applyAlignment="1">
      <alignment horizontal="left" indent="2"/>
    </xf>
    <xf numFmtId="0" fontId="14" fillId="2" borderId="0" xfId="0" applyFont="1" applyFill="1"/>
    <xf numFmtId="0" fontId="5" fillId="2" borderId="0" xfId="0" applyFont="1" applyFill="1"/>
    <xf numFmtId="0" fontId="25" fillId="2" borderId="1" xfId="0" applyFont="1" applyFill="1" applyBorder="1"/>
    <xf numFmtId="3" fontId="25" fillId="2" borderId="21" xfId="0" applyNumberFormat="1" applyFont="1" applyFill="1" applyBorder="1"/>
    <xf numFmtId="3" fontId="25" fillId="2" borderId="20" xfId="0" applyNumberFormat="1" applyFont="1" applyFill="1" applyBorder="1"/>
    <xf numFmtId="3" fontId="25" fillId="2" borderId="19" xfId="0" applyNumberFormat="1" applyFont="1" applyFill="1" applyBorder="1"/>
    <xf numFmtId="1" fontId="10" fillId="0" borderId="0" xfId="0" applyNumberFormat="1" applyFont="1"/>
    <xf numFmtId="174" fontId="31" fillId="0" borderId="0" xfId="0" applyNumberFormat="1" applyFont="1" applyFill="1" applyBorder="1" applyAlignment="1">
      <alignment horizontal="right"/>
    </xf>
    <xf numFmtId="174" fontId="32" fillId="0" borderId="0" xfId="0" applyNumberFormat="1" applyFont="1" applyFill="1" applyBorder="1" applyAlignment="1">
      <alignment horizontal="right"/>
    </xf>
    <xf numFmtId="0" fontId="19" fillId="0" borderId="0" xfId="0" applyFont="1" applyAlignment="1"/>
    <xf numFmtId="0" fontId="37" fillId="0" borderId="0" xfId="0" applyFont="1" applyAlignment="1"/>
    <xf numFmtId="0" fontId="23" fillId="0" borderId="18" xfId="0" applyFont="1" applyBorder="1" applyAlignment="1">
      <alignment horizontal="left"/>
    </xf>
    <xf numFmtId="0" fontId="23" fillId="4" borderId="32" xfId="0" applyFont="1" applyFill="1" applyBorder="1" applyAlignment="1" applyProtection="1">
      <alignment vertical="center"/>
    </xf>
    <xf numFmtId="0" fontId="23" fillId="4" borderId="0" xfId="0" applyFont="1" applyFill="1" applyBorder="1" applyAlignment="1" applyProtection="1">
      <alignment vertical="center"/>
    </xf>
    <xf numFmtId="0" fontId="19" fillId="0" borderId="4" xfId="0" applyFont="1" applyBorder="1" applyAlignment="1">
      <alignment horizontal="center"/>
    </xf>
    <xf numFmtId="3" fontId="19" fillId="0" borderId="33" xfId="0" applyNumberFormat="1" applyFont="1" applyBorder="1" applyAlignment="1">
      <alignment horizontal="center"/>
    </xf>
    <xf numFmtId="3" fontId="19" fillId="2" borderId="0" xfId="0" applyNumberFormat="1" applyFont="1" applyFill="1" applyAlignment="1">
      <alignment horizontal="center"/>
    </xf>
    <xf numFmtId="3" fontId="19" fillId="0" borderId="0" xfId="0" applyNumberFormat="1" applyFont="1" applyAlignment="1">
      <alignment horizontal="center"/>
    </xf>
    <xf numFmtId="3" fontId="23" fillId="2" borderId="0" xfId="0" applyNumberFormat="1" applyFont="1" applyFill="1" applyAlignment="1">
      <alignment horizontal="center"/>
    </xf>
    <xf numFmtId="3" fontId="23" fillId="2" borderId="0" xfId="0" applyNumberFormat="1" applyFont="1" applyFill="1" applyBorder="1" applyAlignment="1">
      <alignment horizontal="center"/>
    </xf>
    <xf numFmtId="0" fontId="19" fillId="0" borderId="0" xfId="0" applyFont="1" applyAlignment="1">
      <alignment horizontal="right"/>
    </xf>
    <xf numFmtId="3" fontId="19" fillId="0" borderId="0" xfId="0" applyNumberFormat="1" applyFont="1" applyAlignment="1">
      <alignment horizontal="right"/>
    </xf>
    <xf numFmtId="0" fontId="31" fillId="0" borderId="0" xfId="0" applyFont="1" applyAlignment="1">
      <alignment horizontal="center"/>
    </xf>
    <xf numFmtId="0" fontId="19" fillId="0" borderId="15" xfId="0" applyFont="1" applyBorder="1" applyAlignment="1">
      <alignment horizontal="right"/>
    </xf>
    <xf numFmtId="0" fontId="37" fillId="0" borderId="0" xfId="0" applyFont="1"/>
    <xf numFmtId="0" fontId="23" fillId="0" borderId="18" xfId="0" applyFont="1" applyBorder="1" applyAlignment="1">
      <alignment horizontal="center"/>
    </xf>
    <xf numFmtId="0" fontId="19" fillId="0" borderId="0" xfId="0" applyFont="1" applyAlignment="1">
      <alignment horizontal="center"/>
    </xf>
    <xf numFmtId="3" fontId="19" fillId="0" borderId="0" xfId="0" applyNumberFormat="1" applyFont="1" applyBorder="1" applyAlignment="1">
      <alignment horizontal="center"/>
    </xf>
    <xf numFmtId="0" fontId="23" fillId="2" borderId="1" xfId="0" applyFont="1" applyFill="1" applyBorder="1" applyAlignment="1" applyProtection="1"/>
    <xf numFmtId="0" fontId="19" fillId="2" borderId="1" xfId="0" applyFont="1" applyFill="1" applyBorder="1" applyAlignment="1" applyProtection="1"/>
    <xf numFmtId="0" fontId="23" fillId="4" borderId="34" xfId="0" applyFont="1" applyFill="1" applyBorder="1" applyAlignment="1" applyProtection="1">
      <alignment vertical="center"/>
    </xf>
    <xf numFmtId="3" fontId="23" fillId="0" borderId="0" xfId="0" applyNumberFormat="1" applyFont="1" applyAlignment="1">
      <alignment horizontal="center"/>
    </xf>
    <xf numFmtId="0" fontId="23" fillId="2" borderId="1" xfId="0" applyFont="1" applyFill="1" applyBorder="1" applyProtection="1"/>
    <xf numFmtId="0" fontId="19" fillId="2" borderId="1" xfId="0" applyFont="1" applyFill="1" applyBorder="1" applyProtection="1"/>
    <xf numFmtId="0" fontId="19" fillId="0" borderId="33" xfId="0" applyFont="1" applyBorder="1" applyAlignment="1">
      <alignment horizontal="center"/>
    </xf>
    <xf numFmtId="3" fontId="39" fillId="2" borderId="0" xfId="0" applyNumberFormat="1" applyFont="1" applyFill="1" applyBorder="1" applyAlignment="1">
      <alignment horizontal="center"/>
    </xf>
    <xf numFmtId="3" fontId="39" fillId="2" borderId="0" xfId="0" applyNumberFormat="1" applyFont="1" applyFill="1" applyAlignment="1">
      <alignment horizontal="center"/>
    </xf>
    <xf numFmtId="3" fontId="38" fillId="0" borderId="33" xfId="0" applyNumberFormat="1" applyFont="1" applyBorder="1" applyAlignment="1">
      <alignment horizontal="center"/>
    </xf>
    <xf numFmtId="3" fontId="38" fillId="0" borderId="0" xfId="0" applyNumberFormat="1" applyFont="1" applyAlignment="1">
      <alignment horizontal="center"/>
    </xf>
    <xf numFmtId="3" fontId="39" fillId="2" borderId="0" xfId="0" applyNumberFormat="1" applyFont="1" applyFill="1" applyBorder="1" applyAlignment="1" applyProtection="1">
      <alignment horizontal="center"/>
    </xf>
    <xf numFmtId="3" fontId="38" fillId="0" borderId="0" xfId="0" applyNumberFormat="1" applyFont="1" applyAlignment="1">
      <alignment horizontal="right"/>
    </xf>
    <xf numFmtId="3" fontId="14" fillId="0" borderId="0" xfId="0" applyNumberFormat="1" applyFont="1"/>
    <xf numFmtId="3" fontId="25" fillId="2" borderId="0" xfId="0" applyNumberFormat="1" applyFont="1" applyFill="1"/>
    <xf numFmtId="3" fontId="2" fillId="0" borderId="0" xfId="0" applyNumberFormat="1" applyFont="1" applyBorder="1"/>
    <xf numFmtId="3" fontId="3" fillId="0" borderId="0" xfId="0" applyNumberFormat="1" applyFont="1" applyFill="1"/>
    <xf numFmtId="0" fontId="3" fillId="0" borderId="0" xfId="0" applyFont="1" applyFill="1" applyAlignment="1">
      <alignment horizontal="left"/>
    </xf>
    <xf numFmtId="3" fontId="3" fillId="5" borderId="9" xfId="0" applyNumberFormat="1" applyFont="1" applyFill="1" applyBorder="1"/>
    <xf numFmtId="0" fontId="3" fillId="0" borderId="0" xfId="0" applyFont="1" applyBorder="1" applyAlignment="1">
      <alignment horizontal="right"/>
    </xf>
    <xf numFmtId="0" fontId="0" fillId="0" borderId="0" xfId="0" applyFill="1" applyAlignment="1">
      <alignment horizontal="left"/>
    </xf>
    <xf numFmtId="0" fontId="2" fillId="0" borderId="3" xfId="0" applyFont="1" applyFill="1" applyBorder="1" applyAlignment="1">
      <alignment horizontal="right"/>
    </xf>
    <xf numFmtId="0" fontId="2" fillId="2" borderId="4" xfId="0" applyFont="1" applyFill="1" applyBorder="1" applyAlignment="1">
      <alignment horizontal="right"/>
    </xf>
    <xf numFmtId="0" fontId="21" fillId="2" borderId="0" xfId="0" applyFont="1" applyFill="1"/>
    <xf numFmtId="3" fontId="21" fillId="2" borderId="0" xfId="0" applyNumberFormat="1" applyFont="1" applyFill="1"/>
    <xf numFmtId="0" fontId="4" fillId="2" borderId="0" xfId="0" applyFont="1" applyFill="1" applyAlignment="1" applyProtection="1">
      <alignment horizontal="right"/>
    </xf>
    <xf numFmtId="0" fontId="23" fillId="4" borderId="35" xfId="0" applyFont="1" applyFill="1" applyBorder="1" applyAlignment="1" applyProtection="1">
      <alignment horizontal="right"/>
    </xf>
    <xf numFmtId="0" fontId="23" fillId="4" borderId="36" xfId="0" applyFont="1" applyFill="1" applyBorder="1" applyAlignment="1" applyProtection="1">
      <alignment horizontal="right"/>
    </xf>
    <xf numFmtId="0" fontId="1" fillId="2" borderId="0" xfId="0" applyFont="1" applyFill="1"/>
    <xf numFmtId="0" fontId="23" fillId="4" borderId="4" xfId="0" applyFont="1" applyFill="1" applyBorder="1" applyAlignment="1" applyProtection="1">
      <alignment vertical="center"/>
    </xf>
    <xf numFmtId="0" fontId="19" fillId="2" borderId="2" xfId="0" applyFont="1" applyFill="1" applyBorder="1" applyAlignment="1" applyProtection="1">
      <alignment wrapText="1"/>
    </xf>
    <xf numFmtId="0" fontId="19" fillId="2" borderId="0" xfId="0" applyFont="1" applyFill="1" applyBorder="1" applyAlignment="1" applyProtection="1">
      <alignment wrapText="1"/>
    </xf>
    <xf numFmtId="3" fontId="19" fillId="2" borderId="0" xfId="0" applyNumberFormat="1" applyFont="1" applyFill="1" applyBorder="1" applyAlignment="1" applyProtection="1">
      <alignment horizontal="center" wrapText="1"/>
    </xf>
    <xf numFmtId="0" fontId="23" fillId="2" borderId="2" xfId="0" applyFont="1" applyFill="1" applyBorder="1" applyAlignment="1" applyProtection="1">
      <alignment wrapText="1"/>
    </xf>
    <xf numFmtId="9" fontId="31" fillId="2" borderId="0" xfId="0" applyNumberFormat="1" applyFont="1" applyFill="1" applyBorder="1" applyAlignment="1" applyProtection="1">
      <alignment horizontal="center"/>
    </xf>
    <xf numFmtId="9" fontId="32" fillId="2" borderId="4" xfId="0" applyNumberFormat="1" applyFont="1" applyFill="1" applyBorder="1" applyAlignment="1" applyProtection="1">
      <alignment horizontal="center" vertical="top"/>
    </xf>
    <xf numFmtId="9" fontId="32" fillId="2" borderId="1" xfId="0" applyNumberFormat="1" applyFont="1" applyFill="1" applyBorder="1" applyAlignment="1" applyProtection="1">
      <alignment horizontal="center" vertical="top"/>
    </xf>
    <xf numFmtId="0" fontId="19" fillId="0" borderId="18" xfId="0" applyFont="1" applyBorder="1"/>
    <xf numFmtId="3" fontId="3" fillId="0" borderId="9" xfId="0" applyNumberFormat="1" applyFont="1" applyBorder="1"/>
    <xf numFmtId="0" fontId="3" fillId="2" borderId="33" xfId="0" applyFont="1" applyFill="1" applyBorder="1"/>
    <xf numFmtId="3" fontId="3" fillId="2" borderId="10" xfId="0" applyNumberFormat="1" applyFont="1" applyFill="1" applyBorder="1"/>
    <xf numFmtId="3" fontId="3" fillId="2" borderId="33" xfId="0" applyNumberFormat="1" applyFont="1" applyFill="1" applyBorder="1"/>
    <xf numFmtId="3" fontId="3" fillId="2" borderId="27" xfId="0" applyNumberFormat="1" applyFont="1" applyFill="1" applyBorder="1"/>
    <xf numFmtId="3" fontId="3" fillId="2" borderId="7" xfId="0" applyNumberFormat="1" applyFont="1" applyFill="1" applyBorder="1"/>
    <xf numFmtId="0" fontId="2" fillId="0" borderId="18" xfId="0" applyFont="1" applyBorder="1" applyAlignment="1">
      <alignment horizontal="right" vertical="center"/>
    </xf>
    <xf numFmtId="2" fontId="19" fillId="2" borderId="0" xfId="0" applyNumberFormat="1" applyFont="1" applyFill="1" applyBorder="1" applyProtection="1"/>
    <xf numFmtId="2" fontId="19" fillId="2" borderId="1" xfId="0" applyNumberFormat="1" applyFont="1" applyFill="1" applyBorder="1" applyAlignment="1" applyProtection="1">
      <alignment vertical="top"/>
    </xf>
    <xf numFmtId="0" fontId="31" fillId="2" borderId="0" xfId="0" applyFont="1" applyFill="1" applyBorder="1" applyAlignment="1" applyProtection="1">
      <alignment horizontal="center"/>
    </xf>
    <xf numFmtId="0" fontId="23" fillId="0" borderId="18" xfId="0" applyFont="1" applyBorder="1" applyAlignment="1"/>
    <xf numFmtId="3" fontId="38" fillId="0" borderId="33" xfId="0" applyNumberFormat="1" applyFont="1" applyBorder="1" applyAlignment="1" applyProtection="1">
      <alignment horizontal="center"/>
      <protection locked="0"/>
    </xf>
    <xf numFmtId="3" fontId="38" fillId="0" borderId="0" xfId="0" applyNumberFormat="1" applyFont="1" applyAlignment="1" applyProtection="1">
      <alignment horizontal="center"/>
      <protection locked="0"/>
    </xf>
    <xf numFmtId="3" fontId="38" fillId="2" borderId="0" xfId="0" applyNumberFormat="1" applyFont="1" applyFill="1" applyAlignment="1">
      <alignment horizontal="center"/>
    </xf>
    <xf numFmtId="0" fontId="19" fillId="0" borderId="18" xfId="0" applyFont="1" applyBorder="1" applyAlignment="1"/>
    <xf numFmtId="1" fontId="30" fillId="0" borderId="1" xfId="0" applyNumberFormat="1" applyFont="1" applyFill="1" applyBorder="1"/>
    <xf numFmtId="0" fontId="46" fillId="2" borderId="0" xfId="0" applyFont="1" applyFill="1" applyAlignment="1">
      <alignment horizontal="left" wrapText="1"/>
    </xf>
    <xf numFmtId="0" fontId="47" fillId="2" borderId="0" xfId="0" applyFont="1" applyFill="1"/>
    <xf numFmtId="0" fontId="25" fillId="2" borderId="0" xfId="0" applyFont="1" applyFill="1"/>
    <xf numFmtId="0" fontId="12" fillId="2" borderId="0" xfId="1" applyFill="1" applyAlignment="1" applyProtection="1"/>
    <xf numFmtId="0" fontId="48" fillId="2" borderId="0" xfId="0" applyFont="1" applyFill="1" applyAlignment="1">
      <alignment horizontal="left" indent="15"/>
    </xf>
    <xf numFmtId="0" fontId="21" fillId="2" borderId="0" xfId="0" applyFont="1" applyFill="1" applyAlignment="1">
      <alignment wrapText="1"/>
    </xf>
    <xf numFmtId="0" fontId="48" fillId="5" borderId="0" xfId="0" applyFont="1" applyFill="1" applyAlignment="1">
      <alignment wrapText="1"/>
    </xf>
    <xf numFmtId="0" fontId="21" fillId="5" borderId="0" xfId="0" applyFont="1" applyFill="1" applyAlignment="1">
      <alignment wrapText="1"/>
    </xf>
    <xf numFmtId="0" fontId="20" fillId="5" borderId="0" xfId="0" applyFont="1" applyFill="1" applyAlignment="1">
      <alignment wrapText="1"/>
    </xf>
    <xf numFmtId="0" fontId="49" fillId="5" borderId="0" xfId="0" applyFont="1" applyFill="1" applyAlignment="1">
      <alignment wrapText="1"/>
    </xf>
    <xf numFmtId="0" fontId="50" fillId="5" borderId="0" xfId="0" applyFont="1" applyFill="1" applyAlignment="1">
      <alignment wrapText="1"/>
    </xf>
    <xf numFmtId="0" fontId="21" fillId="5" borderId="0" xfId="0" applyNumberFormat="1" applyFont="1" applyFill="1" applyAlignment="1">
      <alignment wrapText="1"/>
    </xf>
    <xf numFmtId="0" fontId="12" fillId="5" borderId="0" xfId="1" applyFont="1" applyFill="1" applyAlignment="1" applyProtection="1">
      <alignment wrapText="1"/>
    </xf>
    <xf numFmtId="0" fontId="51" fillId="5" borderId="0" xfId="0" applyFont="1" applyFill="1" applyAlignment="1">
      <alignment wrapText="1"/>
    </xf>
    <xf numFmtId="0" fontId="12" fillId="5" borderId="0" xfId="1" applyFill="1" applyAlignment="1" applyProtection="1">
      <alignment wrapText="1"/>
    </xf>
    <xf numFmtId="0" fontId="52" fillId="5" borderId="0" xfId="0" applyFont="1" applyFill="1" applyAlignment="1">
      <alignment wrapText="1"/>
    </xf>
    <xf numFmtId="0" fontId="53" fillId="5" borderId="0" xfId="0" applyFont="1" applyFill="1" applyAlignment="1">
      <alignment horizontal="justify" wrapText="1"/>
    </xf>
    <xf numFmtId="0" fontId="54" fillId="5" borderId="0" xfId="0" applyFont="1" applyFill="1" applyAlignment="1">
      <alignment horizontal="justify" wrapText="1"/>
    </xf>
    <xf numFmtId="0" fontId="54" fillId="5" borderId="0" xfId="0" applyFont="1" applyFill="1" applyAlignment="1">
      <alignment horizontal="justify"/>
    </xf>
    <xf numFmtId="0" fontId="55" fillId="5" borderId="0" xfId="0" applyFont="1" applyFill="1" applyAlignment="1">
      <alignment horizontal="justify"/>
    </xf>
    <xf numFmtId="0" fontId="57" fillId="5" borderId="0" xfId="0" applyFont="1" applyFill="1" applyAlignment="1">
      <alignment horizontal="justify"/>
    </xf>
    <xf numFmtId="0" fontId="8" fillId="5" borderId="0" xfId="0" applyFont="1" applyFill="1" applyAlignment="1">
      <alignment wrapText="1"/>
    </xf>
    <xf numFmtId="0" fontId="54" fillId="5" borderId="0" xfId="0" applyFont="1" applyFill="1" applyAlignment="1">
      <alignment wrapText="1"/>
    </xf>
    <xf numFmtId="0" fontId="7" fillId="5" borderId="0" xfId="0" applyFont="1" applyFill="1" applyAlignment="1">
      <alignment wrapText="1"/>
    </xf>
    <xf numFmtId="0" fontId="3" fillId="5" borderId="0" xfId="0" applyFont="1" applyFill="1" applyAlignment="1">
      <alignment wrapText="1"/>
    </xf>
    <xf numFmtId="0" fontId="48" fillId="2" borderId="0" xfId="0" applyFont="1" applyFill="1" applyAlignment="1">
      <alignment wrapText="1"/>
    </xf>
    <xf numFmtId="0" fontId="20" fillId="2" borderId="0" xfId="0" applyFont="1" applyFill="1" applyAlignment="1">
      <alignment wrapText="1"/>
    </xf>
    <xf numFmtId="0" fontId="57" fillId="2" borderId="0" xfId="0" applyFont="1" applyFill="1" applyAlignment="1">
      <alignment horizontal="left" wrapText="1"/>
    </xf>
    <xf numFmtId="0" fontId="59" fillId="5" borderId="0" xfId="0" applyFont="1" applyFill="1" applyAlignment="1">
      <alignment wrapText="1"/>
    </xf>
    <xf numFmtId="0" fontId="59" fillId="5" borderId="0" xfId="0" applyFont="1" applyFill="1" applyAlignment="1">
      <alignment horizontal="left" wrapText="1"/>
    </xf>
    <xf numFmtId="0" fontId="59" fillId="2" borderId="0" xfId="0" applyFont="1" applyFill="1" applyAlignment="1">
      <alignment horizontal="left" wrapText="1"/>
    </xf>
    <xf numFmtId="0" fontId="60" fillId="5" borderId="0" xfId="0" applyFont="1" applyFill="1" applyAlignment="1">
      <alignment wrapText="1"/>
    </xf>
    <xf numFmtId="0" fontId="21" fillId="5" borderId="0" xfId="0" applyFont="1" applyFill="1" applyAlignment="1">
      <alignment horizontal="left" wrapText="1"/>
    </xf>
    <xf numFmtId="0" fontId="21" fillId="2" borderId="0" xfId="0" applyFont="1" applyFill="1" applyAlignment="1">
      <alignment horizontal="left" wrapText="1"/>
    </xf>
    <xf numFmtId="0" fontId="22" fillId="5" borderId="0" xfId="0" applyFont="1" applyFill="1" applyAlignment="1">
      <alignment wrapText="1"/>
    </xf>
    <xf numFmtId="0" fontId="61" fillId="5" borderId="0" xfId="0" applyFont="1" applyFill="1" applyAlignment="1">
      <alignment wrapText="1"/>
    </xf>
    <xf numFmtId="0" fontId="63" fillId="5" borderId="0" xfId="0" applyFont="1" applyFill="1" applyAlignment="1">
      <alignment wrapText="1"/>
    </xf>
    <xf numFmtId="0" fontId="64" fillId="5" borderId="0" xfId="0" applyFont="1" applyFill="1" applyAlignment="1">
      <alignment wrapText="1"/>
    </xf>
    <xf numFmtId="0" fontId="55" fillId="5" borderId="0" xfId="0" applyFont="1" applyFill="1" applyAlignment="1">
      <alignment horizontal="left" wrapText="1"/>
    </xf>
    <xf numFmtId="0" fontId="53" fillId="5" borderId="0" xfId="0" applyFont="1" applyFill="1" applyAlignment="1">
      <alignment wrapText="1"/>
    </xf>
    <xf numFmtId="0" fontId="20" fillId="2" borderId="0" xfId="0" applyFont="1" applyFill="1" applyAlignment="1">
      <alignment horizontal="center" wrapText="1"/>
    </xf>
    <xf numFmtId="0" fontId="60" fillId="2" borderId="0" xfId="0" applyFont="1" applyFill="1" applyAlignment="1">
      <alignment wrapText="1"/>
    </xf>
    <xf numFmtId="0" fontId="41" fillId="2" borderId="0" xfId="0" applyFont="1" applyFill="1" applyAlignment="1">
      <alignment horizontal="center"/>
    </xf>
    <xf numFmtId="0" fontId="0" fillId="2" borderId="0" xfId="0" applyFill="1" applyAlignment="1">
      <alignment wrapText="1"/>
    </xf>
    <xf numFmtId="0" fontId="21" fillId="2" borderId="0" xfId="0" applyFont="1" applyFill="1" applyAlignment="1">
      <alignment horizontal="justify"/>
    </xf>
    <xf numFmtId="0" fontId="21" fillId="2" borderId="0" xfId="0" applyFont="1" applyFill="1" applyAlignment="1">
      <alignment horizontal="justify" wrapText="1"/>
    </xf>
    <xf numFmtId="0" fontId="20" fillId="2" borderId="0" xfId="0" applyFont="1" applyFill="1" applyAlignment="1">
      <alignment horizontal="justify"/>
    </xf>
    <xf numFmtId="0" fontId="20" fillId="5" borderId="0" xfId="0" applyFont="1" applyFill="1" applyAlignment="1">
      <alignment horizontal="justify"/>
    </xf>
    <xf numFmtId="0" fontId="21" fillId="5" borderId="0" xfId="0" applyFont="1" applyFill="1" applyAlignment="1">
      <alignment horizontal="justify" wrapText="1"/>
    </xf>
    <xf numFmtId="0" fontId="54" fillId="2" borderId="0" xfId="0" applyFont="1" applyFill="1" applyAlignment="1">
      <alignment horizontal="justify"/>
    </xf>
    <xf numFmtId="0" fontId="22" fillId="5" borderId="0" xfId="0" applyFont="1" applyFill="1" applyAlignment="1">
      <alignment horizontal="justify" wrapText="1"/>
    </xf>
    <xf numFmtId="0" fontId="20" fillId="5" borderId="0" xfId="0" applyFont="1" applyFill="1" applyAlignment="1">
      <alignment horizontal="justify" wrapText="1"/>
    </xf>
    <xf numFmtId="0" fontId="20" fillId="2" borderId="0" xfId="0" applyFont="1" applyFill="1" applyAlignment="1">
      <alignment horizontal="justify" wrapText="1"/>
    </xf>
    <xf numFmtId="0" fontId="5" fillId="2" borderId="0" xfId="0" applyFont="1" applyFill="1" applyAlignment="1">
      <alignment wrapText="1"/>
    </xf>
    <xf numFmtId="0" fontId="43" fillId="2" borderId="0" xfId="0" applyFont="1" applyFill="1" applyAlignment="1">
      <alignment wrapText="1"/>
    </xf>
    <xf numFmtId="0" fontId="65" fillId="2" borderId="0" xfId="0" applyFont="1" applyFill="1" applyAlignment="1">
      <alignment wrapText="1"/>
    </xf>
    <xf numFmtId="0" fontId="12" fillId="2" borderId="0" xfId="1" applyFill="1" applyAlignment="1" applyProtection="1">
      <alignment wrapText="1"/>
    </xf>
    <xf numFmtId="0" fontId="20" fillId="2" borderId="0" xfId="0" applyFont="1" applyFill="1"/>
    <xf numFmtId="0" fontId="20" fillId="2" borderId="0" xfId="0" applyFont="1" applyFill="1" applyAlignment="1">
      <alignment horizontal="right"/>
    </xf>
    <xf numFmtId="0" fontId="20" fillId="2" borderId="0" xfId="0" applyFont="1" applyFill="1" applyAlignment="1">
      <alignment horizontal="right" wrapText="1"/>
    </xf>
    <xf numFmtId="0" fontId="3" fillId="5" borderId="37" xfId="0" applyFont="1" applyFill="1" applyBorder="1"/>
    <xf numFmtId="3" fontId="3" fillId="5" borderId="38" xfId="0" applyNumberFormat="1" applyFont="1" applyFill="1" applyBorder="1"/>
    <xf numFmtId="3" fontId="3" fillId="5" borderId="39" xfId="0" applyNumberFormat="1" applyFont="1" applyFill="1" applyBorder="1"/>
    <xf numFmtId="0" fontId="3" fillId="5" borderId="38" xfId="0" applyFont="1" applyFill="1" applyBorder="1"/>
    <xf numFmtId="0" fontId="3" fillId="5" borderId="39" xfId="0" applyFont="1" applyFill="1" applyBorder="1"/>
    <xf numFmtId="0" fontId="1" fillId="0" borderId="0" xfId="0" applyFont="1"/>
    <xf numFmtId="2" fontId="1" fillId="0" borderId="33" xfId="0" applyNumberFormat="1" applyFont="1" applyBorder="1"/>
    <xf numFmtId="2" fontId="1" fillId="0" borderId="0" xfId="0" applyNumberFormat="1" applyFont="1"/>
    <xf numFmtId="2" fontId="1" fillId="0" borderId="1" xfId="0" applyNumberFormat="1" applyFont="1" applyBorder="1"/>
    <xf numFmtId="0" fontId="1" fillId="0" borderId="0" xfId="0" applyFont="1" applyAlignment="1">
      <alignment horizontal="right"/>
    </xf>
    <xf numFmtId="0" fontId="19" fillId="0" borderId="40" xfId="0" applyFont="1" applyFill="1" applyBorder="1" applyAlignment="1" applyProtection="1">
      <alignment horizontal="right"/>
    </xf>
    <xf numFmtId="0" fontId="31" fillId="0" borderId="40" xfId="0" applyFont="1" applyFill="1" applyBorder="1" applyAlignment="1" applyProtection="1">
      <alignment horizontal="right"/>
    </xf>
    <xf numFmtId="3" fontId="31" fillId="2" borderId="0" xfId="0" applyNumberFormat="1" applyFont="1" applyFill="1" applyBorder="1" applyAlignment="1" applyProtection="1">
      <alignment horizontal="center"/>
    </xf>
    <xf numFmtId="0" fontId="23" fillId="2" borderId="17" xfId="0" applyFont="1" applyFill="1" applyBorder="1" applyAlignment="1" applyProtection="1">
      <alignment vertical="center"/>
    </xf>
    <xf numFmtId="0" fontId="32" fillId="0" borderId="0" xfId="0" applyFont="1" applyFill="1" applyBorder="1" applyAlignment="1">
      <alignment horizontal="center" vertical="center"/>
    </xf>
    <xf numFmtId="3" fontId="32" fillId="2" borderId="1" xfId="0" applyNumberFormat="1" applyFont="1" applyFill="1" applyBorder="1" applyAlignment="1" applyProtection="1">
      <alignment horizontal="center" vertical="center"/>
    </xf>
    <xf numFmtId="0" fontId="32" fillId="2" borderId="0" xfId="0" applyFont="1" applyFill="1" applyBorder="1" applyAlignment="1" applyProtection="1">
      <alignment horizontal="center" vertical="center"/>
    </xf>
    <xf numFmtId="0" fontId="32" fillId="0" borderId="0" xfId="0" applyFont="1" applyAlignment="1">
      <alignment horizontal="center" vertical="center"/>
    </xf>
    <xf numFmtId="0" fontId="12" fillId="2" borderId="0" xfId="1" applyFont="1" applyFill="1" applyAlignment="1" applyProtection="1"/>
    <xf numFmtId="2" fontId="1" fillId="2" borderId="0" xfId="0" applyNumberFormat="1" applyFont="1" applyFill="1" applyBorder="1"/>
    <xf numFmtId="2" fontId="1" fillId="2" borderId="0" xfId="0" applyNumberFormat="1" applyFont="1" applyFill="1"/>
    <xf numFmtId="2" fontId="3" fillId="2" borderId="0" xfId="0" applyNumberFormat="1" applyFont="1" applyFill="1" applyAlignment="1">
      <alignment horizontal="right"/>
    </xf>
    <xf numFmtId="2" fontId="3" fillId="2" borderId="1" xfId="0" applyNumberFormat="1" applyFont="1" applyFill="1" applyBorder="1" applyAlignment="1">
      <alignment horizontal="right"/>
    </xf>
    <xf numFmtId="0" fontId="21" fillId="5" borderId="0" xfId="0" applyFont="1" applyFill="1"/>
    <xf numFmtId="0" fontId="3" fillId="2" borderId="1" xfId="0" applyFont="1" applyFill="1" applyBorder="1" applyAlignment="1" applyProtection="1">
      <alignment horizontal="left"/>
    </xf>
    <xf numFmtId="0" fontId="19" fillId="2" borderId="0" xfId="0" applyFont="1" applyFill="1" applyAlignment="1" applyProtection="1">
      <alignment horizontal="left"/>
    </xf>
    <xf numFmtId="0" fontId="21" fillId="2" borderId="1" xfId="0" applyFont="1" applyFill="1" applyBorder="1" applyAlignment="1" applyProtection="1">
      <alignment horizontal="center"/>
    </xf>
    <xf numFmtId="0" fontId="0" fillId="2" borderId="3" xfId="0" applyFill="1" applyBorder="1"/>
    <xf numFmtId="0" fontId="0" fillId="2" borderId="1" xfId="0" applyFill="1" applyBorder="1"/>
    <xf numFmtId="0" fontId="19" fillId="2" borderId="41" xfId="0" applyFont="1" applyFill="1" applyBorder="1" applyAlignment="1" applyProtection="1">
      <alignment vertical="top"/>
    </xf>
    <xf numFmtId="0" fontId="19" fillId="2" borderId="0" xfId="0" applyFont="1" applyFill="1" applyAlignment="1"/>
    <xf numFmtId="0" fontId="37" fillId="2" borderId="0" xfId="0" applyFont="1" applyFill="1" applyAlignment="1"/>
    <xf numFmtId="0" fontId="19" fillId="2" borderId="4" xfId="0" applyFont="1" applyFill="1" applyBorder="1" applyAlignment="1">
      <alignment horizontal="center"/>
    </xf>
    <xf numFmtId="0" fontId="19" fillId="2" borderId="0" xfId="0" applyFont="1" applyFill="1" applyAlignment="1">
      <alignment wrapText="1"/>
    </xf>
    <xf numFmtId="0" fontId="19" fillId="2" borderId="15" xfId="0" applyFont="1" applyFill="1" applyBorder="1" applyAlignment="1">
      <alignment horizontal="right" vertical="top"/>
    </xf>
    <xf numFmtId="0" fontId="19" fillId="2" borderId="2" xfId="0" applyFont="1" applyFill="1" applyBorder="1"/>
    <xf numFmtId="0" fontId="19" fillId="2" borderId="0" xfId="0" applyFont="1" applyFill="1" applyAlignment="1">
      <alignment horizontal="right"/>
    </xf>
    <xf numFmtId="0" fontId="37" fillId="2" borderId="0" xfId="0" applyFont="1" applyFill="1"/>
    <xf numFmtId="0" fontId="23" fillId="2" borderId="18" xfId="0" applyFont="1" applyFill="1" applyBorder="1" applyAlignment="1">
      <alignment horizontal="center"/>
    </xf>
    <xf numFmtId="0" fontId="23" fillId="0" borderId="3" xfId="0" applyFont="1" applyBorder="1" applyAlignment="1">
      <alignment horizontal="center"/>
    </xf>
    <xf numFmtId="0" fontId="3" fillId="2" borderId="18" xfId="0" applyFont="1" applyFill="1" applyBorder="1" applyAlignment="1">
      <alignment horizontal="right"/>
    </xf>
    <xf numFmtId="2" fontId="26" fillId="2" borderId="18" xfId="0" applyNumberFormat="1" applyFont="1" applyFill="1" applyBorder="1" applyAlignment="1">
      <alignment horizontal="right"/>
    </xf>
    <xf numFmtId="0" fontId="40" fillId="0" borderId="18" xfId="0" applyFont="1" applyBorder="1" applyAlignment="1">
      <alignment horizontal="right"/>
    </xf>
    <xf numFmtId="3" fontId="25" fillId="2" borderId="1" xfId="0" applyNumberFormat="1" applyFont="1" applyFill="1" applyBorder="1" applyAlignment="1">
      <alignment horizontal="center"/>
    </xf>
    <xf numFmtId="0" fontId="0" fillId="0" borderId="1" xfId="0" applyBorder="1" applyAlignment="1">
      <alignment horizontal="center"/>
    </xf>
    <xf numFmtId="0" fontId="2" fillId="0" borderId="3" xfId="0" applyFont="1" applyBorder="1" applyAlignment="1">
      <alignment horizontal="center" wrapText="1"/>
    </xf>
    <xf numFmtId="0" fontId="3" fillId="0" borderId="42" xfId="0" applyFont="1" applyBorder="1" applyAlignment="1"/>
    <xf numFmtId="0" fontId="2" fillId="0" borderId="0" xfId="0" applyFont="1" applyAlignment="1">
      <alignment horizontal="center" wrapText="1"/>
    </xf>
    <xf numFmtId="0" fontId="2" fillId="0" borderId="0" xfId="0" applyFont="1" applyBorder="1" applyAlignment="1">
      <alignment horizontal="center" wrapText="1"/>
    </xf>
    <xf numFmtId="0" fontId="2" fillId="0" borderId="43" xfId="0" applyFont="1" applyBorder="1" applyAlignment="1">
      <alignment horizontal="center"/>
    </xf>
    <xf numFmtId="0" fontId="2" fillId="0" borderId="3" xfId="0" applyFont="1" applyBorder="1" applyAlignment="1">
      <alignment horizontal="center"/>
    </xf>
    <xf numFmtId="0" fontId="2" fillId="0" borderId="42" xfId="0" applyFont="1" applyBorder="1" applyAlignment="1">
      <alignment horizontal="center"/>
    </xf>
    <xf numFmtId="0" fontId="26" fillId="0" borderId="18" xfId="0" applyFont="1" applyBorder="1" applyAlignment="1">
      <alignment horizontal="right"/>
    </xf>
    <xf numFmtId="3" fontId="25" fillId="0" borderId="1" xfId="0" applyNumberFormat="1" applyFont="1" applyBorder="1" applyAlignment="1">
      <alignment horizontal="center"/>
    </xf>
    <xf numFmtId="0" fontId="2" fillId="0" borderId="30" xfId="0" applyFont="1" applyBorder="1" applyAlignment="1">
      <alignment horizontal="center" wrapText="1"/>
    </xf>
    <xf numFmtId="0" fontId="2" fillId="0" borderId="18" xfId="0" applyFont="1" applyBorder="1" applyAlignment="1">
      <alignment horizontal="center" wrapText="1"/>
    </xf>
    <xf numFmtId="0" fontId="2" fillId="0" borderId="44" xfId="0" applyFont="1" applyBorder="1" applyAlignment="1">
      <alignment horizontal="center" wrapText="1"/>
    </xf>
    <xf numFmtId="0" fontId="26" fillId="2" borderId="18" xfId="0" applyFont="1" applyFill="1" applyBorder="1" applyAlignment="1">
      <alignment horizontal="right"/>
    </xf>
    <xf numFmtId="0" fontId="25" fillId="0" borderId="1" xfId="0" applyFont="1" applyBorder="1" applyAlignment="1">
      <alignment horizontal="center"/>
    </xf>
    <xf numFmtId="0" fontId="3" fillId="0" borderId="18" xfId="0" applyFont="1" applyBorder="1" applyAlignment="1">
      <alignment horizontal="right"/>
    </xf>
    <xf numFmtId="0" fontId="3" fillId="0" borderId="18" xfId="0" applyFont="1" applyBorder="1" applyAlignment="1"/>
    <xf numFmtId="0" fontId="23" fillId="0" borderId="45" xfId="0" applyFont="1" applyBorder="1" applyAlignment="1">
      <alignment horizontal="center"/>
    </xf>
    <xf numFmtId="0" fontId="35" fillId="0" borderId="18" xfId="0" applyFont="1" applyBorder="1" applyAlignment="1">
      <alignment horizontal="left"/>
    </xf>
    <xf numFmtId="0" fontId="23" fillId="0" borderId="18" xfId="0" applyFont="1" applyBorder="1" applyAlignment="1">
      <alignment horizontal="left"/>
    </xf>
    <xf numFmtId="0" fontId="19" fillId="0" borderId="18" xfId="0" applyFont="1" applyBorder="1" applyAlignment="1">
      <alignment horizontal="left"/>
    </xf>
    <xf numFmtId="0" fontId="35" fillId="2" borderId="18" xfId="0" applyFont="1" applyFill="1" applyBorder="1" applyAlignment="1">
      <alignment horizontal="left"/>
    </xf>
    <xf numFmtId="0" fontId="19" fillId="2" borderId="18" xfId="0" applyFont="1" applyFill="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t>Figure 2.1: Cars registered for the first time by new/used breakdown: January to March quarter 2007 to 2011</a:t>
            </a:r>
          </a:p>
        </c:rich>
      </c:tx>
      <c:overlay val="0"/>
      <c:spPr>
        <a:noFill/>
        <a:ln w="25400">
          <a:noFill/>
        </a:ln>
      </c:spPr>
    </c:title>
    <c:autoTitleDeleted val="0"/>
    <c:plotArea>
      <c:layout/>
      <c:lineChart>
        <c:grouping val="standard"/>
        <c:varyColors val="0"/>
        <c:ser>
          <c:idx val="0"/>
          <c:order val="0"/>
          <c:tx>
            <c:v>New Cars</c:v>
          </c:tx>
          <c:spPr>
            <a:ln w="12700">
              <a:solidFill>
                <a:srgbClr val="3366FF"/>
              </a:solidFill>
              <a:prstDash val="solid"/>
            </a:ln>
          </c:spPr>
          <c:marker>
            <c:symbol val="diamond"/>
            <c:size val="5"/>
            <c:spPr>
              <a:noFill/>
              <a:ln>
                <a:solidFill>
                  <a:srgbClr val="3366FF"/>
                </a:solidFill>
                <a:prstDash val="solid"/>
              </a:ln>
            </c:spPr>
          </c:marker>
          <c:cat>
            <c:strRef>
              <c:f>'Figure 2.1 Vehicle Registration'!#REF!</c:f>
              <c:strCache>
                <c:ptCount val="5"/>
                <c:pt idx="0">
                  <c:v>Jan-Mar 2007</c:v>
                </c:pt>
                <c:pt idx="1">
                  <c:v>Jan-Mar 2008</c:v>
                </c:pt>
                <c:pt idx="2">
                  <c:v>Jan-Mar 2009</c:v>
                </c:pt>
                <c:pt idx="3">
                  <c:v>Jan-Mar 2010</c:v>
                </c:pt>
                <c:pt idx="4">
                  <c:v>Jan-Mar 2011</c:v>
                </c:pt>
              </c:strCache>
            </c:strRef>
          </c:cat>
          <c:val>
            <c:numRef>
              <c:f>'Figure 2.1 Vehicle Registration'!#REF!</c:f>
              <c:numCache>
                <c:formatCode>General</c:formatCode>
                <c:ptCount val="5"/>
                <c:pt idx="0">
                  <c:v>24056</c:v>
                </c:pt>
                <c:pt idx="1">
                  <c:v>22460</c:v>
                </c:pt>
                <c:pt idx="2">
                  <c:v>16072</c:v>
                </c:pt>
                <c:pt idx="3">
                  <c:v>19796</c:v>
                </c:pt>
                <c:pt idx="4">
                  <c:v>16586</c:v>
                </c:pt>
              </c:numCache>
            </c:numRef>
          </c:val>
          <c:smooth val="0"/>
          <c:extLst>
            <c:ext xmlns:c16="http://schemas.microsoft.com/office/drawing/2014/chart" uri="{C3380CC4-5D6E-409C-BE32-E72D297353CC}">
              <c16:uniqueId val="{00000000-5F18-4A84-920F-AA082C54A1FE}"/>
            </c:ext>
          </c:extLst>
        </c:ser>
        <c:ser>
          <c:idx val="1"/>
          <c:order val="1"/>
          <c:tx>
            <c:v>Used Cars</c:v>
          </c:tx>
          <c:spPr>
            <a:ln w="12700">
              <a:solidFill>
                <a:srgbClr val="99CCFF"/>
              </a:solidFill>
              <a:prstDash val="solid"/>
            </a:ln>
          </c:spPr>
          <c:marker>
            <c:symbol val="square"/>
            <c:size val="5"/>
            <c:spPr>
              <a:solidFill>
                <a:srgbClr val="99CCFF"/>
              </a:solidFill>
              <a:ln>
                <a:solidFill>
                  <a:srgbClr val="99CCFF"/>
                </a:solidFill>
                <a:prstDash val="solid"/>
              </a:ln>
            </c:spPr>
          </c:marker>
          <c:cat>
            <c:strRef>
              <c:f>'Figure 2.1 Vehicle Registration'!#REF!</c:f>
              <c:strCache>
                <c:ptCount val="5"/>
                <c:pt idx="0">
                  <c:v>Jan-Mar 2007</c:v>
                </c:pt>
                <c:pt idx="1">
                  <c:v>Jan-Mar 2008</c:v>
                </c:pt>
                <c:pt idx="2">
                  <c:v>Jan-Mar 2009</c:v>
                </c:pt>
                <c:pt idx="3">
                  <c:v>Jan-Mar 2010</c:v>
                </c:pt>
                <c:pt idx="4">
                  <c:v>Jan-Mar 2011</c:v>
                </c:pt>
              </c:strCache>
            </c:strRef>
          </c:cat>
          <c:val>
            <c:numRef>
              <c:f>'Figure 2.1 Vehicle Registration'!#REF!</c:f>
              <c:numCache>
                <c:formatCode>General</c:formatCode>
                <c:ptCount val="5"/>
                <c:pt idx="0">
                  <c:v>9563</c:v>
                </c:pt>
                <c:pt idx="1">
                  <c:v>9013</c:v>
                </c:pt>
                <c:pt idx="2">
                  <c:v>9439</c:v>
                </c:pt>
                <c:pt idx="3">
                  <c:v>8038</c:v>
                </c:pt>
                <c:pt idx="4">
                  <c:v>7784</c:v>
                </c:pt>
              </c:numCache>
            </c:numRef>
          </c:val>
          <c:smooth val="0"/>
          <c:extLst>
            <c:ext xmlns:c16="http://schemas.microsoft.com/office/drawing/2014/chart" uri="{C3380CC4-5D6E-409C-BE32-E72D297353CC}">
              <c16:uniqueId val="{00000001-5F18-4A84-920F-AA082C54A1FE}"/>
            </c:ext>
          </c:extLst>
        </c:ser>
        <c:ser>
          <c:idx val="2"/>
          <c:order val="2"/>
          <c:tx>
            <c:v>New and Used Cars</c:v>
          </c:tx>
          <c:spPr>
            <a:ln w="12700">
              <a:solidFill>
                <a:srgbClr val="800000"/>
              </a:solidFill>
              <a:prstDash val="solid"/>
            </a:ln>
          </c:spPr>
          <c:marker>
            <c:symbol val="triangle"/>
            <c:size val="5"/>
            <c:spPr>
              <a:solidFill>
                <a:srgbClr val="800000"/>
              </a:solidFill>
              <a:ln>
                <a:solidFill>
                  <a:srgbClr val="800000"/>
                </a:solidFill>
                <a:prstDash val="solid"/>
              </a:ln>
            </c:spPr>
          </c:marker>
          <c:cat>
            <c:strRef>
              <c:f>'Figure 2.1 Vehicle Registration'!#REF!</c:f>
              <c:strCache>
                <c:ptCount val="5"/>
                <c:pt idx="0">
                  <c:v>Jan-Mar 2007</c:v>
                </c:pt>
                <c:pt idx="1">
                  <c:v>Jan-Mar 2008</c:v>
                </c:pt>
                <c:pt idx="2">
                  <c:v>Jan-Mar 2009</c:v>
                </c:pt>
                <c:pt idx="3">
                  <c:v>Jan-Mar 2010</c:v>
                </c:pt>
                <c:pt idx="4">
                  <c:v>Jan-Mar 2011</c:v>
                </c:pt>
              </c:strCache>
            </c:strRef>
          </c:cat>
          <c:val>
            <c:numRef>
              <c:f>'Figure 2.1 Vehicle Registration'!#REF!</c:f>
              <c:numCache>
                <c:formatCode>General</c:formatCode>
                <c:ptCount val="5"/>
                <c:pt idx="0">
                  <c:v>33619</c:v>
                </c:pt>
                <c:pt idx="1">
                  <c:v>31473</c:v>
                </c:pt>
                <c:pt idx="2">
                  <c:v>25511</c:v>
                </c:pt>
                <c:pt idx="3">
                  <c:v>27834</c:v>
                </c:pt>
                <c:pt idx="4">
                  <c:v>24370</c:v>
                </c:pt>
              </c:numCache>
            </c:numRef>
          </c:val>
          <c:smooth val="0"/>
          <c:extLst>
            <c:ext xmlns:c16="http://schemas.microsoft.com/office/drawing/2014/chart" uri="{C3380CC4-5D6E-409C-BE32-E72D297353CC}">
              <c16:uniqueId val="{00000002-5F18-4A84-920F-AA082C54A1FE}"/>
            </c:ext>
          </c:extLst>
        </c:ser>
        <c:dLbls>
          <c:showLegendKey val="0"/>
          <c:showVal val="0"/>
          <c:showCatName val="0"/>
          <c:showSerName val="0"/>
          <c:showPercent val="0"/>
          <c:showBubbleSize val="0"/>
        </c:dLbls>
        <c:marker val="1"/>
        <c:smooth val="0"/>
        <c:axId val="123516472"/>
        <c:axId val="1"/>
      </c:lineChart>
      <c:catAx>
        <c:axId val="1235164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35000"/>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Number of cars registered for first time</a:t>
                </a:r>
              </a:p>
            </c:rich>
          </c:tx>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23516472"/>
        <c:crosses val="autoZero"/>
        <c:crossBetween val="between"/>
      </c:valAx>
      <c:spPr>
        <a:no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25" b="1" i="0" u="none" strike="noStrike" baseline="0">
                <a:solidFill>
                  <a:srgbClr val="000000"/>
                </a:solidFill>
                <a:latin typeface="Arial"/>
                <a:ea typeface="Arial"/>
                <a:cs typeface="Arial"/>
              </a:defRPr>
            </a:pPr>
            <a:r>
              <a:rPr lang="en-US"/>
              <a:t>Figure 2.1: Cars registered for the first time by new/used breakdown: Apr to June quarter 2007 to 2011</a:t>
            </a:r>
          </a:p>
        </c:rich>
      </c:tx>
      <c:overlay val="0"/>
      <c:spPr>
        <a:noFill/>
        <a:ln w="25400">
          <a:noFill/>
        </a:ln>
      </c:spPr>
    </c:title>
    <c:autoTitleDeleted val="0"/>
    <c:plotArea>
      <c:layout/>
      <c:lineChart>
        <c:grouping val="standard"/>
        <c:varyColors val="0"/>
        <c:ser>
          <c:idx val="0"/>
          <c:order val="0"/>
          <c:tx>
            <c:v>New Cars</c:v>
          </c:tx>
          <c:spPr>
            <a:ln w="12700">
              <a:solidFill>
                <a:srgbClr val="3366FF"/>
              </a:solidFill>
              <a:prstDash val="solid"/>
            </a:ln>
          </c:spPr>
          <c:marker>
            <c:symbol val="diamond"/>
            <c:size val="5"/>
            <c:spPr>
              <a:noFill/>
              <a:ln>
                <a:solidFill>
                  <a:srgbClr val="3366FF"/>
                </a:solidFill>
                <a:prstDash val="solid"/>
              </a:ln>
            </c:spPr>
          </c:marker>
          <c:cat>
            <c:strLit>
              <c:ptCount val="5"/>
              <c:pt idx="0">
                <c:v>Apr-Jun 2007</c:v>
              </c:pt>
              <c:pt idx="1">
                <c:v>Apr-Jun 2008</c:v>
              </c:pt>
              <c:pt idx="2">
                <c:v>Apr-Jun 2009</c:v>
              </c:pt>
              <c:pt idx="3">
                <c:v>Apr-Jun 2010</c:v>
              </c:pt>
              <c:pt idx="4">
                <c:v>Apr-Jun 2011</c:v>
              </c:pt>
            </c:strLit>
          </c:cat>
          <c:val>
            <c:numLit>
              <c:formatCode>General</c:formatCode>
              <c:ptCount val="5"/>
              <c:pt idx="0">
                <c:v>18531</c:v>
              </c:pt>
              <c:pt idx="1">
                <c:v>16082</c:v>
              </c:pt>
              <c:pt idx="2">
                <c:v>12209</c:v>
              </c:pt>
              <c:pt idx="3">
                <c:v>14041</c:v>
              </c:pt>
              <c:pt idx="4">
                <c:v>12164</c:v>
              </c:pt>
            </c:numLit>
          </c:val>
          <c:smooth val="0"/>
          <c:extLst>
            <c:ext xmlns:c16="http://schemas.microsoft.com/office/drawing/2014/chart" uri="{C3380CC4-5D6E-409C-BE32-E72D297353CC}">
              <c16:uniqueId val="{00000000-5B0D-4CC7-AE29-D7EE9236E991}"/>
            </c:ext>
          </c:extLst>
        </c:ser>
        <c:ser>
          <c:idx val="1"/>
          <c:order val="1"/>
          <c:tx>
            <c:v>Used Cars</c:v>
          </c:tx>
          <c:spPr>
            <a:ln w="12700">
              <a:solidFill>
                <a:srgbClr val="99CCFF"/>
              </a:solidFill>
              <a:prstDash val="solid"/>
            </a:ln>
          </c:spPr>
          <c:marker>
            <c:symbol val="square"/>
            <c:size val="5"/>
            <c:spPr>
              <a:solidFill>
                <a:srgbClr val="99CCFF"/>
              </a:solidFill>
              <a:ln>
                <a:solidFill>
                  <a:srgbClr val="99CCFF"/>
                </a:solidFill>
                <a:prstDash val="solid"/>
              </a:ln>
            </c:spPr>
          </c:marker>
          <c:cat>
            <c:strLit>
              <c:ptCount val="5"/>
              <c:pt idx="0">
                <c:v>Apr-Jun 2007</c:v>
              </c:pt>
              <c:pt idx="1">
                <c:v>Apr-Jun 2008</c:v>
              </c:pt>
              <c:pt idx="2">
                <c:v>Apr-Jun 2009</c:v>
              </c:pt>
              <c:pt idx="3">
                <c:v>Apr-Jun 2010</c:v>
              </c:pt>
              <c:pt idx="4">
                <c:v>Apr-Jun 2011</c:v>
              </c:pt>
            </c:strLit>
          </c:cat>
          <c:val>
            <c:numLit>
              <c:formatCode>General</c:formatCode>
              <c:ptCount val="5"/>
              <c:pt idx="0">
                <c:v>10002</c:v>
              </c:pt>
              <c:pt idx="1">
                <c:v>9106</c:v>
              </c:pt>
              <c:pt idx="2">
                <c:v>9115</c:v>
              </c:pt>
              <c:pt idx="3">
                <c:v>7915</c:v>
              </c:pt>
              <c:pt idx="4">
                <c:v>7594</c:v>
              </c:pt>
            </c:numLit>
          </c:val>
          <c:smooth val="0"/>
          <c:extLst>
            <c:ext xmlns:c16="http://schemas.microsoft.com/office/drawing/2014/chart" uri="{C3380CC4-5D6E-409C-BE32-E72D297353CC}">
              <c16:uniqueId val="{00000001-5B0D-4CC7-AE29-D7EE9236E991}"/>
            </c:ext>
          </c:extLst>
        </c:ser>
        <c:ser>
          <c:idx val="2"/>
          <c:order val="2"/>
          <c:tx>
            <c:v>New and Used Cars</c:v>
          </c:tx>
          <c:spPr>
            <a:ln w="12700">
              <a:solidFill>
                <a:srgbClr val="800000"/>
              </a:solidFill>
              <a:prstDash val="solid"/>
            </a:ln>
          </c:spPr>
          <c:marker>
            <c:symbol val="triangle"/>
            <c:size val="5"/>
            <c:spPr>
              <a:solidFill>
                <a:srgbClr val="800000"/>
              </a:solidFill>
              <a:ln>
                <a:solidFill>
                  <a:srgbClr val="800000"/>
                </a:solidFill>
                <a:prstDash val="solid"/>
              </a:ln>
            </c:spPr>
          </c:marker>
          <c:cat>
            <c:strLit>
              <c:ptCount val="5"/>
              <c:pt idx="0">
                <c:v>Apr-Jun 2007</c:v>
              </c:pt>
              <c:pt idx="1">
                <c:v>Apr-Jun 2008</c:v>
              </c:pt>
              <c:pt idx="2">
                <c:v>Apr-Jun 2009</c:v>
              </c:pt>
              <c:pt idx="3">
                <c:v>Apr-Jun 2010</c:v>
              </c:pt>
              <c:pt idx="4">
                <c:v>Apr-Jun 2011</c:v>
              </c:pt>
            </c:strLit>
          </c:cat>
          <c:val>
            <c:numLit>
              <c:formatCode>General</c:formatCode>
              <c:ptCount val="5"/>
              <c:pt idx="0">
                <c:v>28533</c:v>
              </c:pt>
              <c:pt idx="1">
                <c:v>25188</c:v>
              </c:pt>
              <c:pt idx="2">
                <c:v>21324</c:v>
              </c:pt>
              <c:pt idx="3">
                <c:v>21956</c:v>
              </c:pt>
              <c:pt idx="4">
                <c:v>19758</c:v>
              </c:pt>
            </c:numLit>
          </c:val>
          <c:smooth val="0"/>
          <c:extLst>
            <c:ext xmlns:c16="http://schemas.microsoft.com/office/drawing/2014/chart" uri="{C3380CC4-5D6E-409C-BE32-E72D297353CC}">
              <c16:uniqueId val="{00000002-5B0D-4CC7-AE29-D7EE9236E991}"/>
            </c:ext>
          </c:extLst>
        </c:ser>
        <c:dLbls>
          <c:showLegendKey val="0"/>
          <c:showVal val="0"/>
          <c:showCatName val="0"/>
          <c:showSerName val="0"/>
          <c:showPercent val="0"/>
          <c:showBubbleSize val="0"/>
        </c:dLbls>
        <c:marker val="1"/>
        <c:smooth val="0"/>
        <c:axId val="123522376"/>
        <c:axId val="1"/>
      </c:lineChart>
      <c:catAx>
        <c:axId val="123522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30000"/>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Number of cars registered for first time</a:t>
                </a:r>
              </a:p>
            </c:rich>
          </c:tx>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23522376"/>
        <c:crosses val="autoZero"/>
        <c:crossBetween val="between"/>
      </c:valAx>
      <c:spPr>
        <a:no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Figure 2.1: Cars registered for the first time by new/used breakdown: July to September quarter 2007 to 2011</a:t>
            </a:r>
          </a:p>
        </c:rich>
      </c:tx>
      <c:layout>
        <c:manualLayout>
          <c:xMode val="edge"/>
          <c:yMode val="edge"/>
          <c:x val="0.10659186535764376"/>
          <c:y val="3.2258064516129031E-2"/>
        </c:manualLayout>
      </c:layout>
      <c:overlay val="0"/>
      <c:spPr>
        <a:noFill/>
        <a:ln w="25400">
          <a:noFill/>
        </a:ln>
      </c:spPr>
    </c:title>
    <c:autoTitleDeleted val="0"/>
    <c:plotArea>
      <c:layout>
        <c:manualLayout>
          <c:layoutTarget val="inner"/>
          <c:xMode val="edge"/>
          <c:yMode val="edge"/>
          <c:x val="0.15708274894810659"/>
          <c:y val="0.19106722901872311"/>
          <c:w val="0.79523141654978957"/>
          <c:h val="0.61290396841070927"/>
        </c:manualLayout>
      </c:layout>
      <c:lineChart>
        <c:grouping val="standard"/>
        <c:varyColors val="0"/>
        <c:ser>
          <c:idx val="0"/>
          <c:order val="0"/>
          <c:tx>
            <c:v>New Cars</c:v>
          </c:tx>
          <c:spPr>
            <a:ln w="12700">
              <a:solidFill>
                <a:srgbClr val="3366FF"/>
              </a:solidFill>
              <a:prstDash val="solid"/>
            </a:ln>
          </c:spPr>
          <c:marker>
            <c:symbol val="diamond"/>
            <c:size val="5"/>
            <c:spPr>
              <a:noFill/>
              <a:ln>
                <a:solidFill>
                  <a:srgbClr val="3366FF"/>
                </a:solidFill>
                <a:prstDash val="solid"/>
              </a:ln>
            </c:spPr>
          </c:marker>
          <c:cat>
            <c:strLit>
              <c:ptCount val="5"/>
              <c:pt idx="0">
                <c:v>Jul-Sep 2007</c:v>
              </c:pt>
              <c:pt idx="1">
                <c:v>Jul-Sep 2008</c:v>
              </c:pt>
              <c:pt idx="2">
                <c:v>Jul-Sep 2009</c:v>
              </c:pt>
              <c:pt idx="3">
                <c:v>Jul-Sep 2010</c:v>
              </c:pt>
              <c:pt idx="4">
                <c:v>Jul-Sep 2011</c:v>
              </c:pt>
            </c:strLit>
          </c:cat>
          <c:val>
            <c:numLit>
              <c:formatCode>General</c:formatCode>
              <c:ptCount val="5"/>
              <c:pt idx="0">
                <c:v>18803</c:v>
              </c:pt>
              <c:pt idx="1">
                <c:v>12974</c:v>
              </c:pt>
              <c:pt idx="2">
                <c:v>15063</c:v>
              </c:pt>
              <c:pt idx="3">
                <c:v>12937</c:v>
              </c:pt>
              <c:pt idx="4">
                <c:v>12062</c:v>
              </c:pt>
            </c:numLit>
          </c:val>
          <c:smooth val="0"/>
          <c:extLst>
            <c:ext xmlns:c16="http://schemas.microsoft.com/office/drawing/2014/chart" uri="{C3380CC4-5D6E-409C-BE32-E72D297353CC}">
              <c16:uniqueId val="{00000000-D537-40D5-84CD-3C725DD092D7}"/>
            </c:ext>
          </c:extLst>
        </c:ser>
        <c:ser>
          <c:idx val="1"/>
          <c:order val="1"/>
          <c:tx>
            <c:v>Used Cars</c:v>
          </c:tx>
          <c:spPr>
            <a:ln w="12700">
              <a:solidFill>
                <a:srgbClr val="99CCFF"/>
              </a:solidFill>
              <a:prstDash val="solid"/>
            </a:ln>
          </c:spPr>
          <c:marker>
            <c:symbol val="square"/>
            <c:size val="5"/>
            <c:spPr>
              <a:solidFill>
                <a:srgbClr val="99CCFF"/>
              </a:solidFill>
              <a:ln>
                <a:solidFill>
                  <a:srgbClr val="99CCFF"/>
                </a:solidFill>
                <a:prstDash val="solid"/>
              </a:ln>
            </c:spPr>
          </c:marker>
          <c:cat>
            <c:strLit>
              <c:ptCount val="5"/>
              <c:pt idx="0">
                <c:v>Jul-Sep 2007</c:v>
              </c:pt>
              <c:pt idx="1">
                <c:v>Jul-Sep 2008</c:v>
              </c:pt>
              <c:pt idx="2">
                <c:v>Jul-Sep 2009</c:v>
              </c:pt>
              <c:pt idx="3">
                <c:v>Jul-Sep 2010</c:v>
              </c:pt>
              <c:pt idx="4">
                <c:v>Jul-Sep 2011</c:v>
              </c:pt>
            </c:strLit>
          </c:cat>
          <c:val>
            <c:numLit>
              <c:formatCode>General</c:formatCode>
              <c:ptCount val="5"/>
              <c:pt idx="0">
                <c:v>9927</c:v>
              </c:pt>
              <c:pt idx="1">
                <c:v>7766</c:v>
              </c:pt>
              <c:pt idx="2">
                <c:v>8485</c:v>
              </c:pt>
              <c:pt idx="3">
                <c:v>8012</c:v>
              </c:pt>
              <c:pt idx="4">
                <c:v>7951</c:v>
              </c:pt>
            </c:numLit>
          </c:val>
          <c:smooth val="0"/>
          <c:extLst>
            <c:ext xmlns:c16="http://schemas.microsoft.com/office/drawing/2014/chart" uri="{C3380CC4-5D6E-409C-BE32-E72D297353CC}">
              <c16:uniqueId val="{00000001-D537-40D5-84CD-3C725DD092D7}"/>
            </c:ext>
          </c:extLst>
        </c:ser>
        <c:ser>
          <c:idx val="2"/>
          <c:order val="2"/>
          <c:tx>
            <c:v>New and Used Cars</c:v>
          </c:tx>
          <c:spPr>
            <a:ln w="12700">
              <a:solidFill>
                <a:srgbClr val="800000"/>
              </a:solidFill>
              <a:prstDash val="solid"/>
            </a:ln>
          </c:spPr>
          <c:marker>
            <c:symbol val="triangle"/>
            <c:size val="5"/>
            <c:spPr>
              <a:solidFill>
                <a:srgbClr val="800000"/>
              </a:solidFill>
              <a:ln>
                <a:solidFill>
                  <a:srgbClr val="800000"/>
                </a:solidFill>
                <a:prstDash val="solid"/>
              </a:ln>
            </c:spPr>
          </c:marker>
          <c:cat>
            <c:strLit>
              <c:ptCount val="5"/>
              <c:pt idx="0">
                <c:v>Jul-Sep 2007</c:v>
              </c:pt>
              <c:pt idx="1">
                <c:v>Jul-Sep 2008</c:v>
              </c:pt>
              <c:pt idx="2">
                <c:v>Jul-Sep 2009</c:v>
              </c:pt>
              <c:pt idx="3">
                <c:v>Jul-Sep 2010</c:v>
              </c:pt>
              <c:pt idx="4">
                <c:v>Jul-Sep 2011</c:v>
              </c:pt>
            </c:strLit>
          </c:cat>
          <c:val>
            <c:numLit>
              <c:formatCode>General</c:formatCode>
              <c:ptCount val="5"/>
              <c:pt idx="0">
                <c:v>28730</c:v>
              </c:pt>
              <c:pt idx="1">
                <c:v>20740</c:v>
              </c:pt>
              <c:pt idx="2">
                <c:v>23548</c:v>
              </c:pt>
              <c:pt idx="3">
                <c:v>20949</c:v>
              </c:pt>
              <c:pt idx="4">
                <c:v>20013</c:v>
              </c:pt>
            </c:numLit>
          </c:val>
          <c:smooth val="0"/>
          <c:extLst>
            <c:ext xmlns:c16="http://schemas.microsoft.com/office/drawing/2014/chart" uri="{C3380CC4-5D6E-409C-BE32-E72D297353CC}">
              <c16:uniqueId val="{00000002-D537-40D5-84CD-3C725DD092D7}"/>
            </c:ext>
          </c:extLst>
        </c:ser>
        <c:dLbls>
          <c:showLegendKey val="0"/>
          <c:showVal val="0"/>
          <c:showCatName val="0"/>
          <c:showSerName val="0"/>
          <c:showPercent val="0"/>
          <c:showBubbleSize val="0"/>
        </c:dLbls>
        <c:marker val="1"/>
        <c:smooth val="0"/>
        <c:axId val="122127168"/>
        <c:axId val="1"/>
      </c:lineChart>
      <c:catAx>
        <c:axId val="1221271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30000"/>
        </c:scaling>
        <c:delete val="0"/>
        <c:axPos val="l"/>
        <c:majorGridlines>
          <c:spPr>
            <a:ln w="12700">
              <a:solidFill>
                <a:srgbClr val="C0C0C0"/>
              </a:solidFill>
              <a:prstDash val="solid"/>
            </a:ln>
          </c:spPr>
        </c:majorGridlines>
        <c:title>
          <c:tx>
            <c:rich>
              <a:bodyPr/>
              <a:lstStyle/>
              <a:p>
                <a:pPr>
                  <a:defRPr sz="1125" b="1" i="0" u="none" strike="noStrike" baseline="0">
                    <a:solidFill>
                      <a:srgbClr val="000000"/>
                    </a:solidFill>
                    <a:latin typeface="Arial"/>
                    <a:ea typeface="Arial"/>
                    <a:cs typeface="Arial"/>
                  </a:defRPr>
                </a:pPr>
                <a:r>
                  <a:rPr lang="en-US"/>
                  <a:t>Number of cars registered for first time</a:t>
                </a:r>
              </a:p>
            </c:rich>
          </c:tx>
          <c:layout>
            <c:manualLayout>
              <c:xMode val="edge"/>
              <c:yMode val="edge"/>
              <c:x val="3.6465638148667601E-2"/>
              <c:y val="0.1488836352031678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Arial"/>
                <a:ea typeface="Arial"/>
                <a:cs typeface="Arial"/>
              </a:defRPr>
            </a:pPr>
            <a:endParaRPr lang="en-US"/>
          </a:p>
        </c:txPr>
        <c:crossAx val="122127168"/>
        <c:crosses val="autoZero"/>
        <c:crossBetween val="between"/>
      </c:valAx>
      <c:spPr>
        <a:noFill/>
        <a:ln w="12700">
          <a:solidFill>
            <a:srgbClr val="C0C0C0"/>
          </a:solidFill>
          <a:prstDash val="solid"/>
        </a:ln>
      </c:spPr>
    </c:plotArea>
    <c:legend>
      <c:legendPos val="b"/>
      <c:layout>
        <c:manualLayout>
          <c:xMode val="edge"/>
          <c:yMode val="edge"/>
          <c:wMode val="edge"/>
          <c:hMode val="edge"/>
          <c:x val="0.25806451612903225"/>
          <c:y val="0.92059657555212537"/>
          <c:w val="0.7755960729312763"/>
          <c:h val="0.9851127045843834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0" i="0" u="none" strike="noStrike" baseline="0">
                <a:solidFill>
                  <a:srgbClr val="000000"/>
                </a:solidFill>
                <a:latin typeface="Arial"/>
                <a:ea typeface="Arial"/>
                <a:cs typeface="Arial"/>
              </a:defRPr>
            </a:pPr>
            <a:r>
              <a:rPr lang="en-US" sz="300" b="1" i="0" u="none" strike="noStrike" baseline="0">
                <a:solidFill>
                  <a:srgbClr val="000000"/>
                </a:solidFill>
                <a:latin typeface="Arial"/>
                <a:cs typeface="Arial"/>
              </a:rPr>
              <a:t>Figure 5.1: Ulsterbus, Metro and NIR Weekly Average Passenger Journeys: Jan-Mar 2010 and Jan-Mar 2011</a:t>
            </a:r>
            <a:r>
              <a:rPr lang="en-US" sz="300" b="1" i="0" u="none" strike="noStrike" baseline="30000">
                <a:solidFill>
                  <a:srgbClr val="000000"/>
                </a:solidFill>
                <a:latin typeface="Arial"/>
                <a:cs typeface="Arial"/>
              </a:rPr>
              <a:t>p</a:t>
            </a:r>
          </a:p>
        </c:rich>
      </c:tx>
      <c:overlay val="0"/>
      <c:spPr>
        <a:noFill/>
        <a:ln w="25400">
          <a:noFill/>
        </a:ln>
      </c:spPr>
    </c:title>
    <c:autoTitleDeleted val="0"/>
    <c:plotArea>
      <c:layout/>
      <c:barChart>
        <c:barDir val="col"/>
        <c:grouping val="clustered"/>
        <c:varyColors val="0"/>
        <c:ser>
          <c:idx val="0"/>
          <c:order val="0"/>
          <c:tx>
            <c:strRef>
              <c:f>'Figure 5.1 Public Transport'!#REF!</c:f>
              <c:strCache>
                <c:ptCount val="1"/>
                <c:pt idx="0">
                  <c:v>Jan-Mar 2010</c:v>
                </c:pt>
              </c:strCache>
            </c:strRef>
          </c:tx>
          <c:spPr>
            <a:solidFill>
              <a:srgbClr val="666699"/>
            </a:solidFill>
            <a:ln w="12700">
              <a:solidFill>
                <a:srgbClr val="000000"/>
              </a:solidFill>
              <a:prstDash val="solid"/>
            </a:ln>
          </c:spPr>
          <c:invertIfNegative val="0"/>
          <c:cat>
            <c:strRef>
              <c:f>'Figure 5.1 Public Transport'!#REF!</c:f>
              <c:strCache>
                <c:ptCount val="3"/>
                <c:pt idx="0">
                  <c:v>Ulsterbus</c:v>
                </c:pt>
                <c:pt idx="1">
                  <c:v>Metro</c:v>
                </c:pt>
                <c:pt idx="2">
                  <c:v>NI Railways</c:v>
                </c:pt>
              </c:strCache>
            </c:strRef>
          </c:cat>
          <c:val>
            <c:numRef>
              <c:f>'Figure 5.1 Public Transport'!#REF!</c:f>
              <c:numCache>
                <c:formatCode>General</c:formatCode>
                <c:ptCount val="3"/>
                <c:pt idx="0">
                  <c:v>0.86</c:v>
                </c:pt>
                <c:pt idx="1">
                  <c:v>0.5</c:v>
                </c:pt>
                <c:pt idx="2">
                  <c:v>0.19</c:v>
                </c:pt>
              </c:numCache>
            </c:numRef>
          </c:val>
          <c:extLst>
            <c:ext xmlns:c16="http://schemas.microsoft.com/office/drawing/2014/chart" uri="{C3380CC4-5D6E-409C-BE32-E72D297353CC}">
              <c16:uniqueId val="{00000000-E4EE-4E36-875E-792409CA5D98}"/>
            </c:ext>
          </c:extLst>
        </c:ser>
        <c:ser>
          <c:idx val="1"/>
          <c:order val="1"/>
          <c:tx>
            <c:strRef>
              <c:f>'Figure 5.1 Public Transport'!#REF!</c:f>
              <c:strCache>
                <c:ptCount val="1"/>
                <c:pt idx="0">
                  <c:v>Jan-Mar 2011</c:v>
                </c:pt>
              </c:strCache>
            </c:strRef>
          </c:tx>
          <c:spPr>
            <a:solidFill>
              <a:srgbClr val="99CCFF"/>
            </a:solidFill>
            <a:ln w="12700">
              <a:solidFill>
                <a:srgbClr val="000000"/>
              </a:solidFill>
              <a:prstDash val="solid"/>
            </a:ln>
          </c:spPr>
          <c:invertIfNegative val="0"/>
          <c:cat>
            <c:strRef>
              <c:f>'Figure 5.1 Public Transport'!#REF!</c:f>
              <c:strCache>
                <c:ptCount val="3"/>
                <c:pt idx="0">
                  <c:v>Ulsterbus</c:v>
                </c:pt>
                <c:pt idx="1">
                  <c:v>Metro</c:v>
                </c:pt>
                <c:pt idx="2">
                  <c:v>NI Railways</c:v>
                </c:pt>
              </c:strCache>
            </c:strRef>
          </c:cat>
          <c:val>
            <c:numRef>
              <c:f>'Figure 5.1 Public Transport'!#REF!</c:f>
              <c:numCache>
                <c:formatCode>General</c:formatCode>
                <c:ptCount val="3"/>
                <c:pt idx="0">
                  <c:v>0.84</c:v>
                </c:pt>
                <c:pt idx="1">
                  <c:v>0.5</c:v>
                </c:pt>
                <c:pt idx="2">
                  <c:v>0.2</c:v>
                </c:pt>
              </c:numCache>
            </c:numRef>
          </c:val>
          <c:extLst>
            <c:ext xmlns:c16="http://schemas.microsoft.com/office/drawing/2014/chart" uri="{C3380CC4-5D6E-409C-BE32-E72D297353CC}">
              <c16:uniqueId val="{00000001-E4EE-4E36-875E-792409CA5D98}"/>
            </c:ext>
          </c:extLst>
        </c:ser>
        <c:dLbls>
          <c:showLegendKey val="0"/>
          <c:showVal val="0"/>
          <c:showCatName val="0"/>
          <c:showSerName val="0"/>
          <c:showPercent val="0"/>
          <c:showBubbleSize val="0"/>
        </c:dLbls>
        <c:gapWidth val="150"/>
        <c:axId val="122127496"/>
        <c:axId val="1"/>
      </c:barChart>
      <c:catAx>
        <c:axId val="122127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Weekly average passenger journeys (millions)</a:t>
                </a:r>
              </a:p>
            </c:rich>
          </c:tx>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22127496"/>
        <c:crosses val="autoZero"/>
        <c:crossBetween val="between"/>
        <c:majorUnit val="0.2"/>
      </c:valAx>
      <c:spPr>
        <a:solidFill>
          <a:srgbClr val="FFFFFF"/>
        </a:solid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1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0" i="0" u="none" strike="noStrike" baseline="0">
                <a:solidFill>
                  <a:srgbClr val="000000"/>
                </a:solidFill>
                <a:latin typeface="Arial"/>
                <a:ea typeface="Arial"/>
                <a:cs typeface="Arial"/>
              </a:defRPr>
            </a:pPr>
            <a:r>
              <a:rPr lang="en-US" sz="300" b="1" i="0" u="none" strike="noStrike" baseline="0">
                <a:solidFill>
                  <a:srgbClr val="000000"/>
                </a:solidFill>
                <a:latin typeface="Arial"/>
                <a:cs typeface="Arial"/>
              </a:rPr>
              <a:t>Figure 5.1: Ulsterbus, Metro and NIR Weekly Average Passenger Journeys: Apr-Jun 2010 and Apr-Jun 2011</a:t>
            </a:r>
            <a:r>
              <a:rPr lang="en-US" sz="300" b="1" i="0" u="none" strike="noStrike" baseline="30000">
                <a:solidFill>
                  <a:srgbClr val="000000"/>
                </a:solidFill>
                <a:latin typeface="Arial"/>
                <a:cs typeface="Arial"/>
              </a:rPr>
              <a:t>p</a:t>
            </a:r>
          </a:p>
        </c:rich>
      </c:tx>
      <c:overlay val="0"/>
      <c:spPr>
        <a:noFill/>
        <a:ln w="25400">
          <a:noFill/>
        </a:ln>
      </c:spPr>
    </c:title>
    <c:autoTitleDeleted val="0"/>
    <c:plotArea>
      <c:layout/>
      <c:barChart>
        <c:barDir val="col"/>
        <c:grouping val="clustered"/>
        <c:varyColors val="0"/>
        <c:ser>
          <c:idx val="0"/>
          <c:order val="0"/>
          <c:tx>
            <c:v>Apr-Jun 2010</c:v>
          </c:tx>
          <c:spPr>
            <a:solidFill>
              <a:srgbClr val="666699"/>
            </a:solidFill>
            <a:ln w="12700">
              <a:solidFill>
                <a:srgbClr val="000000"/>
              </a:solidFill>
              <a:prstDash val="solid"/>
            </a:ln>
          </c:spPr>
          <c:invertIfNegative val="0"/>
          <c:cat>
            <c:strLit>
              <c:ptCount val="3"/>
              <c:pt idx="0">
                <c:v>Ulsterbus</c:v>
              </c:pt>
              <c:pt idx="1">
                <c:v>Metro</c:v>
              </c:pt>
              <c:pt idx="2">
                <c:v>NI Railways</c:v>
              </c:pt>
            </c:strLit>
          </c:cat>
          <c:val>
            <c:numLit>
              <c:formatCode>General</c:formatCode>
              <c:ptCount val="3"/>
              <c:pt idx="0">
                <c:v>0.89</c:v>
              </c:pt>
              <c:pt idx="1">
                <c:v>0.51</c:v>
              </c:pt>
              <c:pt idx="2">
                <c:v>0.2</c:v>
              </c:pt>
            </c:numLit>
          </c:val>
          <c:extLst>
            <c:ext xmlns:c16="http://schemas.microsoft.com/office/drawing/2014/chart" uri="{C3380CC4-5D6E-409C-BE32-E72D297353CC}">
              <c16:uniqueId val="{00000000-C12F-4592-90ED-619A86F6A5C3}"/>
            </c:ext>
          </c:extLst>
        </c:ser>
        <c:ser>
          <c:idx val="1"/>
          <c:order val="1"/>
          <c:tx>
            <c:v>Apr-Jun 2011</c:v>
          </c:tx>
          <c:spPr>
            <a:solidFill>
              <a:srgbClr val="99CCFF"/>
            </a:solidFill>
            <a:ln w="12700">
              <a:solidFill>
                <a:srgbClr val="000000"/>
              </a:solidFill>
              <a:prstDash val="solid"/>
            </a:ln>
          </c:spPr>
          <c:invertIfNegative val="0"/>
          <c:cat>
            <c:strLit>
              <c:ptCount val="3"/>
              <c:pt idx="0">
                <c:v>Ulsterbus</c:v>
              </c:pt>
              <c:pt idx="1">
                <c:v>Metro</c:v>
              </c:pt>
              <c:pt idx="2">
                <c:v>NI Railways</c:v>
              </c:pt>
            </c:strLit>
          </c:cat>
          <c:val>
            <c:numLit>
              <c:formatCode>General</c:formatCode>
              <c:ptCount val="3"/>
              <c:pt idx="0">
                <c:v>0.88</c:v>
              </c:pt>
              <c:pt idx="1">
                <c:v>0.5</c:v>
              </c:pt>
              <c:pt idx="2">
                <c:v>0.2</c:v>
              </c:pt>
            </c:numLit>
          </c:val>
          <c:extLst>
            <c:ext xmlns:c16="http://schemas.microsoft.com/office/drawing/2014/chart" uri="{C3380CC4-5D6E-409C-BE32-E72D297353CC}">
              <c16:uniqueId val="{00000001-C12F-4592-90ED-619A86F6A5C3}"/>
            </c:ext>
          </c:extLst>
        </c:ser>
        <c:dLbls>
          <c:showLegendKey val="0"/>
          <c:showVal val="0"/>
          <c:showCatName val="0"/>
          <c:showSerName val="0"/>
          <c:showPercent val="0"/>
          <c:showBubbleSize val="0"/>
        </c:dLbls>
        <c:gapWidth val="150"/>
        <c:axId val="122129464"/>
        <c:axId val="1"/>
      </c:barChart>
      <c:catAx>
        <c:axId val="122129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Weekly average passenger journeys (millions)</a:t>
                </a:r>
              </a:p>
            </c:rich>
          </c:tx>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22129464"/>
        <c:crosses val="autoZero"/>
        <c:crossBetween val="between"/>
        <c:majorUnit val="0.2"/>
      </c:valAx>
      <c:spPr>
        <a:solidFill>
          <a:srgbClr val="FFFFFF"/>
        </a:solid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1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en-US" sz="1525" b="1" i="0" u="none" strike="noStrike" baseline="0">
                <a:solidFill>
                  <a:srgbClr val="000000"/>
                </a:solidFill>
                <a:latin typeface="Arial"/>
                <a:cs typeface="Arial"/>
              </a:rPr>
              <a:t>Figure 5.1: Ulsterbus, Metro and NIR Weekly Average Passenger Journeys: Jul-Sep 2010 and Jul-Sep 2011</a:t>
            </a:r>
            <a:r>
              <a:rPr lang="en-US" sz="1525" b="1" i="0" u="none" strike="noStrike" baseline="30000">
                <a:solidFill>
                  <a:srgbClr val="000000"/>
                </a:solidFill>
                <a:latin typeface="Arial"/>
                <a:cs typeface="Arial"/>
              </a:rPr>
              <a:t>p</a:t>
            </a:r>
          </a:p>
        </c:rich>
      </c:tx>
      <c:layout>
        <c:manualLayout>
          <c:xMode val="edge"/>
          <c:yMode val="edge"/>
          <c:x val="0.13085638931644045"/>
          <c:y val="3.3591731266149873E-2"/>
        </c:manualLayout>
      </c:layout>
      <c:overlay val="0"/>
      <c:spPr>
        <a:noFill/>
        <a:ln w="25400">
          <a:noFill/>
        </a:ln>
      </c:spPr>
    </c:title>
    <c:autoTitleDeleted val="0"/>
    <c:plotArea>
      <c:layout>
        <c:manualLayout>
          <c:layoutTarget val="inner"/>
          <c:xMode val="edge"/>
          <c:yMode val="edge"/>
          <c:x val="0.14216489404919574"/>
          <c:y val="0.31524627353408008"/>
          <c:w val="0.83521875253902511"/>
          <c:h val="0.48062136784704013"/>
        </c:manualLayout>
      </c:layout>
      <c:barChart>
        <c:barDir val="col"/>
        <c:grouping val="clustered"/>
        <c:varyColors val="0"/>
        <c:ser>
          <c:idx val="0"/>
          <c:order val="0"/>
          <c:tx>
            <c:v>Jul-Sep 2010</c:v>
          </c:tx>
          <c:spPr>
            <a:solidFill>
              <a:srgbClr val="666699"/>
            </a:solidFill>
            <a:ln w="12700">
              <a:solidFill>
                <a:srgbClr val="000000"/>
              </a:solidFill>
              <a:prstDash val="solid"/>
            </a:ln>
          </c:spPr>
          <c:invertIfNegative val="0"/>
          <c:cat>
            <c:strLit>
              <c:ptCount val="3"/>
              <c:pt idx="0">
                <c:v>Ulsterbus</c:v>
              </c:pt>
              <c:pt idx="1">
                <c:v>Metro</c:v>
              </c:pt>
              <c:pt idx="2">
                <c:v>NI Railways</c:v>
              </c:pt>
            </c:strLit>
          </c:cat>
          <c:val>
            <c:numLit>
              <c:formatCode>General</c:formatCode>
              <c:ptCount val="3"/>
              <c:pt idx="0">
                <c:v>0.54</c:v>
              </c:pt>
              <c:pt idx="1">
                <c:v>0.45</c:v>
              </c:pt>
              <c:pt idx="2">
                <c:v>0.19</c:v>
              </c:pt>
            </c:numLit>
          </c:val>
          <c:extLst>
            <c:ext xmlns:c16="http://schemas.microsoft.com/office/drawing/2014/chart" uri="{C3380CC4-5D6E-409C-BE32-E72D297353CC}">
              <c16:uniqueId val="{00000000-9A1A-476C-9DB5-CEEB7D4AC025}"/>
            </c:ext>
          </c:extLst>
        </c:ser>
        <c:ser>
          <c:idx val="1"/>
          <c:order val="1"/>
          <c:tx>
            <c:v>Jul-Sep 2011</c:v>
          </c:tx>
          <c:spPr>
            <a:solidFill>
              <a:srgbClr val="99CCFF"/>
            </a:solidFill>
            <a:ln w="12700">
              <a:solidFill>
                <a:srgbClr val="000000"/>
              </a:solidFill>
              <a:prstDash val="solid"/>
            </a:ln>
          </c:spPr>
          <c:invertIfNegative val="0"/>
          <c:cat>
            <c:strLit>
              <c:ptCount val="3"/>
              <c:pt idx="0">
                <c:v>Ulsterbus</c:v>
              </c:pt>
              <c:pt idx="1">
                <c:v>Metro</c:v>
              </c:pt>
              <c:pt idx="2">
                <c:v>NI Railways</c:v>
              </c:pt>
            </c:strLit>
          </c:cat>
          <c:val>
            <c:numLit>
              <c:formatCode>General</c:formatCode>
              <c:ptCount val="3"/>
              <c:pt idx="0">
                <c:v>0.53</c:v>
              </c:pt>
              <c:pt idx="1">
                <c:v>0.46</c:v>
              </c:pt>
              <c:pt idx="2">
                <c:v>0.2</c:v>
              </c:pt>
            </c:numLit>
          </c:val>
          <c:extLst>
            <c:ext xmlns:c16="http://schemas.microsoft.com/office/drawing/2014/chart" uri="{C3380CC4-5D6E-409C-BE32-E72D297353CC}">
              <c16:uniqueId val="{00000001-9A1A-476C-9DB5-CEEB7D4AC025}"/>
            </c:ext>
          </c:extLst>
        </c:ser>
        <c:dLbls>
          <c:showLegendKey val="0"/>
          <c:showVal val="0"/>
          <c:showCatName val="0"/>
          <c:showSerName val="0"/>
          <c:showPercent val="0"/>
          <c:showBubbleSize val="0"/>
        </c:dLbls>
        <c:gapWidth val="150"/>
        <c:axId val="160725144"/>
        <c:axId val="1"/>
      </c:barChart>
      <c:catAx>
        <c:axId val="16072514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12700">
              <a:solidFill>
                <a:srgbClr val="C0C0C0"/>
              </a:solidFill>
              <a:prstDash val="solid"/>
            </a:ln>
          </c:spPr>
        </c:majorGridlines>
        <c:title>
          <c:tx>
            <c:rich>
              <a:bodyPr/>
              <a:lstStyle/>
              <a:p>
                <a:pPr>
                  <a:defRPr sz="1150" b="1" i="0" u="none" strike="noStrike" baseline="0">
                    <a:solidFill>
                      <a:srgbClr val="000000"/>
                    </a:solidFill>
                    <a:latin typeface="Arial"/>
                    <a:ea typeface="Arial"/>
                    <a:cs typeface="Arial"/>
                  </a:defRPr>
                </a:pPr>
                <a:r>
                  <a:rPr lang="en-US"/>
                  <a:t>Weekly average passenger journeys (millions)</a:t>
                </a:r>
              </a:p>
            </c:rich>
          </c:tx>
          <c:layout>
            <c:manualLayout>
              <c:xMode val="edge"/>
              <c:yMode val="edge"/>
              <c:x val="8.0775444264943458E-3"/>
              <c:y val="0.29665818904419894"/>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60725144"/>
        <c:crosses val="autoZero"/>
        <c:crossBetween val="between"/>
        <c:majorUnit val="0.2"/>
      </c:valAx>
      <c:spPr>
        <a:solidFill>
          <a:srgbClr val="FFFFFF"/>
        </a:solidFill>
        <a:ln w="12700">
          <a:solidFill>
            <a:srgbClr val="C0C0C0"/>
          </a:solidFill>
          <a:prstDash val="solid"/>
        </a:ln>
      </c:spPr>
    </c:plotArea>
    <c:legend>
      <c:legendPos val="b"/>
      <c:layout>
        <c:manualLayout>
          <c:xMode val="edge"/>
          <c:yMode val="edge"/>
          <c:wMode val="edge"/>
          <c:hMode val="edge"/>
          <c:x val="0.39741552499798588"/>
          <c:y val="0.91473112372581333"/>
          <c:w val="0.74475027455170684"/>
          <c:h val="0.981914857542032"/>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 b="1" i="0" u="none" strike="noStrike" baseline="0">
                <a:solidFill>
                  <a:srgbClr val="000000"/>
                </a:solidFill>
                <a:latin typeface="Arial"/>
                <a:ea typeface="Arial"/>
                <a:cs typeface="Arial"/>
              </a:defRPr>
            </a:pPr>
            <a:r>
              <a:rPr lang="en-US"/>
              <a:t>Figure 8.1: Car 'L' driving tests: % Pass Rates for Males/Females in NI/GB April 2010 to March 2011</a:t>
            </a:r>
          </a:p>
        </c:rich>
      </c:tx>
      <c:overlay val="0"/>
      <c:spPr>
        <a:noFill/>
        <a:ln w="25400">
          <a:noFill/>
        </a:ln>
      </c:spPr>
    </c:title>
    <c:autoTitleDeleted val="0"/>
    <c:plotArea>
      <c:layout/>
      <c:barChart>
        <c:barDir val="col"/>
        <c:grouping val="clustered"/>
        <c:varyColors val="0"/>
        <c:ser>
          <c:idx val="0"/>
          <c:order val="0"/>
          <c:tx>
            <c:v>Northern Ireland</c:v>
          </c:tx>
          <c:spPr>
            <a:solidFill>
              <a:srgbClr val="9999FF"/>
            </a:solidFill>
            <a:ln w="12700">
              <a:solidFill>
                <a:srgbClr val="000000"/>
              </a:solidFill>
              <a:prstDash val="solid"/>
            </a:ln>
          </c:spPr>
          <c:invertIfNegative val="0"/>
          <c:cat>
            <c:strRef>
              <c:f>'Figs 8.1 &amp; 8.2 Driver Testing'!#REF!</c:f>
              <c:strCache>
                <c:ptCount val="3"/>
                <c:pt idx="0">
                  <c:v>Male</c:v>
                </c:pt>
                <c:pt idx="1">
                  <c:v>Female</c:v>
                </c:pt>
                <c:pt idx="2">
                  <c:v>All persons</c:v>
                </c:pt>
              </c:strCache>
            </c:strRef>
          </c:cat>
          <c:val>
            <c:numRef>
              <c:f>'Figs 8.1 &amp; 8.2 Driver Testing'!#REF!</c:f>
              <c:numCache>
                <c:formatCode>General</c:formatCode>
                <c:ptCount val="3"/>
                <c:pt idx="0">
                  <c:v>0.56999999999999995</c:v>
                </c:pt>
                <c:pt idx="1">
                  <c:v>0.46</c:v>
                </c:pt>
                <c:pt idx="2">
                  <c:v>0.51</c:v>
                </c:pt>
              </c:numCache>
            </c:numRef>
          </c:val>
          <c:extLst>
            <c:ext xmlns:c16="http://schemas.microsoft.com/office/drawing/2014/chart" uri="{C3380CC4-5D6E-409C-BE32-E72D297353CC}">
              <c16:uniqueId val="{00000000-58C4-4FDF-A2AE-D6B7DF12ECA4}"/>
            </c:ext>
          </c:extLst>
        </c:ser>
        <c:ser>
          <c:idx val="1"/>
          <c:order val="1"/>
          <c:tx>
            <c:v>Great Britain</c:v>
          </c:tx>
          <c:spPr>
            <a:solidFill>
              <a:srgbClr val="993366"/>
            </a:solidFill>
            <a:ln w="12700">
              <a:solidFill>
                <a:srgbClr val="000000"/>
              </a:solidFill>
              <a:prstDash val="solid"/>
            </a:ln>
          </c:spPr>
          <c:invertIfNegative val="0"/>
          <c:cat>
            <c:strRef>
              <c:f>'Figs 8.1 &amp; 8.2 Driver Testing'!#REF!</c:f>
              <c:strCache>
                <c:ptCount val="3"/>
                <c:pt idx="0">
                  <c:v>Male</c:v>
                </c:pt>
                <c:pt idx="1">
                  <c:v>Female</c:v>
                </c:pt>
                <c:pt idx="2">
                  <c:v>All persons</c:v>
                </c:pt>
              </c:strCache>
            </c:strRef>
          </c:cat>
          <c:val>
            <c:numRef>
              <c:f>'Figs 8.1 &amp; 8.2 Driver Testing'!#REF!</c:f>
              <c:numCache>
                <c:formatCode>General</c:formatCode>
                <c:ptCount val="3"/>
                <c:pt idx="0">
                  <c:v>0.5</c:v>
                </c:pt>
                <c:pt idx="1">
                  <c:v>0.43</c:v>
                </c:pt>
                <c:pt idx="2">
                  <c:v>0.46</c:v>
                </c:pt>
              </c:numCache>
            </c:numRef>
          </c:val>
          <c:extLst>
            <c:ext xmlns:c16="http://schemas.microsoft.com/office/drawing/2014/chart" uri="{C3380CC4-5D6E-409C-BE32-E72D297353CC}">
              <c16:uniqueId val="{00000001-58C4-4FDF-A2AE-D6B7DF12ECA4}"/>
            </c:ext>
          </c:extLst>
        </c:ser>
        <c:dLbls>
          <c:showLegendKey val="0"/>
          <c:showVal val="0"/>
          <c:showCatName val="0"/>
          <c:showSerName val="0"/>
          <c:showPercent val="0"/>
          <c:showBubbleSize val="0"/>
        </c:dLbls>
        <c:gapWidth val="150"/>
        <c:axId val="123247296"/>
        <c:axId val="1"/>
      </c:barChart>
      <c:catAx>
        <c:axId val="1232472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Pass Rate</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Arial"/>
                <a:ea typeface="Arial"/>
                <a:cs typeface="Arial"/>
              </a:defRPr>
            </a:pPr>
            <a:endParaRPr lang="en-US"/>
          </a:p>
        </c:txPr>
        <c:crossAx val="123247296"/>
        <c:crosses val="autoZero"/>
        <c:crossBetween val="between"/>
      </c:valAx>
      <c:spPr>
        <a:solidFill>
          <a:srgbClr val="FFFFFF"/>
        </a:solid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1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 b="1" i="0" u="none" strike="noStrike" baseline="0">
                <a:solidFill>
                  <a:srgbClr val="000000"/>
                </a:solidFill>
                <a:latin typeface="Arial"/>
                <a:ea typeface="Arial"/>
                <a:cs typeface="Arial"/>
              </a:defRPr>
            </a:pPr>
            <a:r>
              <a:rPr lang="en-US"/>
              <a:t>Figure 8.2: Touch screen theory tests for private car drivers: % Pass Rates for Males/Females in NI/GB April 2010 to March 2011</a:t>
            </a:r>
          </a:p>
        </c:rich>
      </c:tx>
      <c:overlay val="0"/>
      <c:spPr>
        <a:noFill/>
        <a:ln w="25400">
          <a:noFill/>
        </a:ln>
      </c:spPr>
    </c:title>
    <c:autoTitleDeleted val="0"/>
    <c:plotArea>
      <c:layout/>
      <c:barChart>
        <c:barDir val="col"/>
        <c:grouping val="clustered"/>
        <c:varyColors val="0"/>
        <c:ser>
          <c:idx val="0"/>
          <c:order val="0"/>
          <c:tx>
            <c:v>Northern Ireland</c:v>
          </c:tx>
          <c:spPr>
            <a:solidFill>
              <a:srgbClr val="9999FF"/>
            </a:solidFill>
            <a:ln w="12700">
              <a:solidFill>
                <a:srgbClr val="000000"/>
              </a:solidFill>
              <a:prstDash val="solid"/>
            </a:ln>
          </c:spPr>
          <c:invertIfNegative val="0"/>
          <c:cat>
            <c:strRef>
              <c:f>'Figs 8.1 &amp; 8.2 Driver Testing'!#REF!</c:f>
              <c:strCache>
                <c:ptCount val="3"/>
              </c:strCache>
            </c:strRef>
          </c:cat>
          <c:val>
            <c:numRef>
              <c:f>'Figs 8.1 &amp; 8.2 Driver Testing'!#REF!</c:f>
              <c:numCache>
                <c:formatCode>General</c:formatCode>
                <c:ptCount val="3"/>
                <c:pt idx="0">
                  <c:v>0</c:v>
                </c:pt>
                <c:pt idx="1">
                  <c:v>0</c:v>
                </c:pt>
                <c:pt idx="2">
                  <c:v>0</c:v>
                </c:pt>
              </c:numCache>
            </c:numRef>
          </c:val>
          <c:extLst>
            <c:ext xmlns:c16="http://schemas.microsoft.com/office/drawing/2014/chart" uri="{C3380CC4-5D6E-409C-BE32-E72D297353CC}">
              <c16:uniqueId val="{00000000-94B4-4222-B854-9CA97242EF67}"/>
            </c:ext>
          </c:extLst>
        </c:ser>
        <c:ser>
          <c:idx val="1"/>
          <c:order val="1"/>
          <c:tx>
            <c:v>Great Britain</c:v>
          </c:tx>
          <c:spPr>
            <a:solidFill>
              <a:srgbClr val="993366"/>
            </a:solidFill>
            <a:ln w="12700">
              <a:solidFill>
                <a:srgbClr val="000000"/>
              </a:solidFill>
              <a:prstDash val="solid"/>
            </a:ln>
          </c:spPr>
          <c:invertIfNegative val="0"/>
          <c:cat>
            <c:strRef>
              <c:f>'Figs 8.1 &amp; 8.2 Driver Testing'!#REF!</c:f>
              <c:strCache>
                <c:ptCount val="3"/>
              </c:strCache>
            </c:strRef>
          </c:cat>
          <c:val>
            <c:numRef>
              <c:f>'Figs 8.1 &amp; 8.2 Driver Testing'!#REF!</c:f>
              <c:numCache>
                <c:formatCode>General</c:formatCode>
                <c:ptCount val="3"/>
                <c:pt idx="0">
                  <c:v>0</c:v>
                </c:pt>
                <c:pt idx="1">
                  <c:v>0</c:v>
                </c:pt>
                <c:pt idx="2">
                  <c:v>0</c:v>
                </c:pt>
              </c:numCache>
            </c:numRef>
          </c:val>
          <c:extLst>
            <c:ext xmlns:c16="http://schemas.microsoft.com/office/drawing/2014/chart" uri="{C3380CC4-5D6E-409C-BE32-E72D297353CC}">
              <c16:uniqueId val="{00000001-94B4-4222-B854-9CA97242EF67}"/>
            </c:ext>
          </c:extLst>
        </c:ser>
        <c:dLbls>
          <c:showLegendKey val="0"/>
          <c:showVal val="0"/>
          <c:showCatName val="0"/>
          <c:showSerName val="0"/>
          <c:showPercent val="0"/>
          <c:showBubbleSize val="0"/>
        </c:dLbls>
        <c:gapWidth val="150"/>
        <c:axId val="123335512"/>
        <c:axId val="1"/>
      </c:barChart>
      <c:catAx>
        <c:axId val="1233355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0.7"/>
          <c:min val="0"/>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Pass Rate</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23335512"/>
        <c:crosses val="autoZero"/>
        <c:crossBetween val="between"/>
        <c:majorUnit val="0.1"/>
        <c:minorUnit val="0.1"/>
      </c:valAx>
      <c:spPr>
        <a:solidFill>
          <a:srgbClr val="FFFFFF"/>
        </a:solid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23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 b="1" i="0" u="none" strike="noStrike" baseline="0">
                <a:solidFill>
                  <a:srgbClr val="000000"/>
                </a:solidFill>
                <a:latin typeface="Arial"/>
                <a:ea typeface="Arial"/>
                <a:cs typeface="Arial"/>
              </a:defRPr>
            </a:pPr>
            <a:r>
              <a:rPr lang="en-US"/>
              <a:t>Figure 8.1: Car 'L' driving tests: % Pass Rates for Males/Females in NI/GB July 2010 to June 2011</a:t>
            </a:r>
          </a:p>
        </c:rich>
      </c:tx>
      <c:overlay val="0"/>
      <c:spPr>
        <a:noFill/>
        <a:ln w="25400">
          <a:noFill/>
        </a:ln>
      </c:spPr>
    </c:title>
    <c:autoTitleDeleted val="0"/>
    <c:plotArea>
      <c:layout/>
      <c:barChart>
        <c:barDir val="col"/>
        <c:grouping val="clustered"/>
        <c:varyColors val="0"/>
        <c:ser>
          <c:idx val="0"/>
          <c:order val="0"/>
          <c:tx>
            <c:v>Northern Ireland</c:v>
          </c:tx>
          <c:spPr>
            <a:solidFill>
              <a:srgbClr val="9999FF"/>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0.56999999999999995</c:v>
              </c:pt>
              <c:pt idx="1">
                <c:v>0.46</c:v>
              </c:pt>
              <c:pt idx="2">
                <c:v>0.51</c:v>
              </c:pt>
            </c:numLit>
          </c:val>
          <c:extLst>
            <c:ext xmlns:c16="http://schemas.microsoft.com/office/drawing/2014/chart" uri="{C3380CC4-5D6E-409C-BE32-E72D297353CC}">
              <c16:uniqueId val="{00000000-370D-44CD-96AC-7AFFC0D7D22C}"/>
            </c:ext>
          </c:extLst>
        </c:ser>
        <c:ser>
          <c:idx val="1"/>
          <c:order val="1"/>
          <c:tx>
            <c:v>Great Britain</c:v>
          </c:tx>
          <c:spPr>
            <a:solidFill>
              <a:srgbClr val="993366"/>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0.5</c:v>
              </c:pt>
              <c:pt idx="1">
                <c:v>0.44</c:v>
              </c:pt>
              <c:pt idx="2">
                <c:v>0.47</c:v>
              </c:pt>
            </c:numLit>
          </c:val>
          <c:extLst>
            <c:ext xmlns:c16="http://schemas.microsoft.com/office/drawing/2014/chart" uri="{C3380CC4-5D6E-409C-BE32-E72D297353CC}">
              <c16:uniqueId val="{00000001-370D-44CD-96AC-7AFFC0D7D22C}"/>
            </c:ext>
          </c:extLst>
        </c:ser>
        <c:dLbls>
          <c:showLegendKey val="0"/>
          <c:showVal val="0"/>
          <c:showCatName val="0"/>
          <c:showSerName val="0"/>
          <c:showPercent val="0"/>
          <c:showBubbleSize val="0"/>
        </c:dLbls>
        <c:gapWidth val="150"/>
        <c:axId val="120439280"/>
        <c:axId val="1"/>
      </c:barChart>
      <c:catAx>
        <c:axId val="120439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Pass Rate</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Arial"/>
                <a:ea typeface="Arial"/>
                <a:cs typeface="Arial"/>
              </a:defRPr>
            </a:pPr>
            <a:endParaRPr lang="en-US"/>
          </a:p>
        </c:txPr>
        <c:crossAx val="120439280"/>
        <c:crosses val="autoZero"/>
        <c:crossBetween val="between"/>
      </c:valAx>
      <c:spPr>
        <a:solidFill>
          <a:srgbClr val="FFFFFF"/>
        </a:solid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1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 b="1" i="0" u="none" strike="noStrike" baseline="0">
                <a:solidFill>
                  <a:srgbClr val="000000"/>
                </a:solidFill>
                <a:latin typeface="Arial"/>
                <a:ea typeface="Arial"/>
                <a:cs typeface="Arial"/>
              </a:defRPr>
            </a:pPr>
            <a:r>
              <a:rPr lang="en-US"/>
              <a:t>Figure 8.2: Touch screen theory tests for private car drivers: % Pass Rates for Males/Females in NI/GB July 2010 to June 2011</a:t>
            </a:r>
          </a:p>
        </c:rich>
      </c:tx>
      <c:overlay val="0"/>
      <c:spPr>
        <a:noFill/>
        <a:ln w="25400">
          <a:noFill/>
        </a:ln>
      </c:spPr>
    </c:title>
    <c:autoTitleDeleted val="0"/>
    <c:plotArea>
      <c:layout/>
      <c:barChart>
        <c:barDir val="col"/>
        <c:grouping val="clustered"/>
        <c:varyColors val="0"/>
        <c:ser>
          <c:idx val="0"/>
          <c:order val="0"/>
          <c:tx>
            <c:v>Northern Ireland</c:v>
          </c:tx>
          <c:spPr>
            <a:solidFill>
              <a:srgbClr val="9999FF"/>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0.61</c:v>
              </c:pt>
              <c:pt idx="1">
                <c:v>0.65</c:v>
              </c:pt>
              <c:pt idx="2">
                <c:v>0.63</c:v>
              </c:pt>
            </c:numLit>
          </c:val>
          <c:extLst>
            <c:ext xmlns:c16="http://schemas.microsoft.com/office/drawing/2014/chart" uri="{C3380CC4-5D6E-409C-BE32-E72D297353CC}">
              <c16:uniqueId val="{00000000-1DB8-4F2F-A14C-250734C542D1}"/>
            </c:ext>
          </c:extLst>
        </c:ser>
        <c:ser>
          <c:idx val="1"/>
          <c:order val="1"/>
          <c:tx>
            <c:v>Great Britain</c:v>
          </c:tx>
          <c:spPr>
            <a:solidFill>
              <a:srgbClr val="993366"/>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0.6</c:v>
              </c:pt>
              <c:pt idx="1">
                <c:v>0.66</c:v>
              </c:pt>
              <c:pt idx="2">
                <c:v>0.63</c:v>
              </c:pt>
            </c:numLit>
          </c:val>
          <c:extLst>
            <c:ext xmlns:c16="http://schemas.microsoft.com/office/drawing/2014/chart" uri="{C3380CC4-5D6E-409C-BE32-E72D297353CC}">
              <c16:uniqueId val="{00000001-1DB8-4F2F-A14C-250734C542D1}"/>
            </c:ext>
          </c:extLst>
        </c:ser>
        <c:dLbls>
          <c:showLegendKey val="0"/>
          <c:showVal val="0"/>
          <c:showCatName val="0"/>
          <c:showSerName val="0"/>
          <c:showPercent val="0"/>
          <c:showBubbleSize val="0"/>
        </c:dLbls>
        <c:gapWidth val="150"/>
        <c:axId val="120438296"/>
        <c:axId val="1"/>
      </c:barChart>
      <c:catAx>
        <c:axId val="1204382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0.7"/>
          <c:min val="0"/>
        </c:scaling>
        <c:delete val="0"/>
        <c:axPos val="l"/>
        <c:majorGridlines>
          <c:spPr>
            <a:ln w="12700">
              <a:solidFill>
                <a:srgbClr val="C0C0C0"/>
              </a:solidFill>
              <a:prstDash val="solid"/>
            </a:ln>
          </c:spPr>
        </c:majorGridlines>
        <c:title>
          <c:tx>
            <c:rich>
              <a:bodyPr/>
              <a:lstStyle/>
              <a:p>
                <a:pPr>
                  <a:defRPr sz="200" b="1" i="0" u="none" strike="noStrike" baseline="0">
                    <a:solidFill>
                      <a:srgbClr val="000000"/>
                    </a:solidFill>
                    <a:latin typeface="Arial"/>
                    <a:ea typeface="Arial"/>
                    <a:cs typeface="Arial"/>
                  </a:defRPr>
                </a:pPr>
                <a:r>
                  <a:rPr lang="en-US"/>
                  <a:t>Pass Rate</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Arial"/>
                <a:ea typeface="Arial"/>
                <a:cs typeface="Arial"/>
              </a:defRPr>
            </a:pPr>
            <a:endParaRPr lang="en-US"/>
          </a:p>
        </c:txPr>
        <c:crossAx val="120438296"/>
        <c:crosses val="autoZero"/>
        <c:crossBetween val="between"/>
        <c:majorUnit val="0.1"/>
        <c:minorUnit val="0.1"/>
      </c:valAx>
      <c:spPr>
        <a:solidFill>
          <a:srgbClr val="FFFFFF"/>
        </a:solidFill>
        <a:ln w="12700">
          <a:solidFill>
            <a:srgbClr val="C0C0C0"/>
          </a:solidFill>
          <a:prstDash val="solid"/>
        </a:ln>
      </c:spPr>
    </c:plotArea>
    <c:legend>
      <c:legendPos val="b"/>
      <c:overlay val="0"/>
      <c:spPr>
        <a:solidFill>
          <a:srgbClr val="FFFFFF"/>
        </a:solidFill>
        <a:ln w="3175">
          <a:solidFill>
            <a:srgbClr val="000000"/>
          </a:solidFill>
          <a:prstDash val="solid"/>
        </a:ln>
      </c:spPr>
      <c:txPr>
        <a:bodyPr/>
        <a:lstStyle/>
        <a:p>
          <a:pPr>
            <a:defRPr sz="23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2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Figure 8.1: Car 'L' driving tests: % Pass Rates for Males/Females in NI/GB October 2010 to September 2011</a:t>
            </a:r>
          </a:p>
        </c:rich>
      </c:tx>
      <c:layout>
        <c:manualLayout>
          <c:xMode val="edge"/>
          <c:yMode val="edge"/>
          <c:x val="0.11041026023166661"/>
          <c:y val="1.2437810945273632E-2"/>
        </c:manualLayout>
      </c:layout>
      <c:overlay val="0"/>
      <c:spPr>
        <a:noFill/>
        <a:ln w="25400">
          <a:noFill/>
        </a:ln>
      </c:spPr>
    </c:title>
    <c:autoTitleDeleted val="0"/>
    <c:plotArea>
      <c:layout>
        <c:manualLayout>
          <c:layoutTarget val="inner"/>
          <c:xMode val="edge"/>
          <c:yMode val="edge"/>
          <c:x val="0.12933763904281398"/>
          <c:y val="0.23383141380843295"/>
          <c:w val="0.84858109518334046"/>
          <c:h val="0.56716555689705017"/>
        </c:manualLayout>
      </c:layout>
      <c:barChart>
        <c:barDir val="col"/>
        <c:grouping val="clustered"/>
        <c:varyColors val="0"/>
        <c:ser>
          <c:idx val="0"/>
          <c:order val="0"/>
          <c:tx>
            <c:v>Northern Ireland</c:v>
          </c:tx>
          <c:spPr>
            <a:solidFill>
              <a:srgbClr val="9999FF"/>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0.57999999999999996</c:v>
              </c:pt>
              <c:pt idx="1">
                <c:v>0.46</c:v>
              </c:pt>
              <c:pt idx="2">
                <c:v>0.51</c:v>
              </c:pt>
            </c:numLit>
          </c:val>
          <c:extLst>
            <c:ext xmlns:c16="http://schemas.microsoft.com/office/drawing/2014/chart" uri="{C3380CC4-5D6E-409C-BE32-E72D297353CC}">
              <c16:uniqueId val="{00000000-538B-4CD1-A513-B0F4E45F3AE9}"/>
            </c:ext>
          </c:extLst>
        </c:ser>
        <c:ser>
          <c:idx val="1"/>
          <c:order val="1"/>
          <c:tx>
            <c:v>Great Britain</c:v>
          </c:tx>
          <c:spPr>
            <a:solidFill>
              <a:srgbClr val="993366"/>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0.5</c:v>
              </c:pt>
              <c:pt idx="1">
                <c:v>0.44</c:v>
              </c:pt>
              <c:pt idx="2">
                <c:v>0.47</c:v>
              </c:pt>
            </c:numLit>
          </c:val>
          <c:extLst>
            <c:ext xmlns:c16="http://schemas.microsoft.com/office/drawing/2014/chart" uri="{C3380CC4-5D6E-409C-BE32-E72D297353CC}">
              <c16:uniqueId val="{00000001-538B-4CD1-A513-B0F4E45F3AE9}"/>
            </c:ext>
          </c:extLst>
        </c:ser>
        <c:dLbls>
          <c:showLegendKey val="0"/>
          <c:showVal val="0"/>
          <c:showCatName val="0"/>
          <c:showSerName val="0"/>
          <c:showPercent val="0"/>
          <c:showBubbleSize val="0"/>
        </c:dLbls>
        <c:gapWidth val="150"/>
        <c:axId val="120440264"/>
        <c:axId val="1"/>
      </c:barChart>
      <c:catAx>
        <c:axId val="1204402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0.6"/>
        </c:scaling>
        <c:delete val="0"/>
        <c:axPos val="l"/>
        <c:majorGridlines>
          <c:spPr>
            <a:ln w="12700">
              <a:solidFill>
                <a:srgbClr val="C0C0C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Pass Rate</a:t>
                </a:r>
              </a:p>
            </c:rich>
          </c:tx>
          <c:layout>
            <c:manualLayout>
              <c:xMode val="edge"/>
              <c:yMode val="edge"/>
              <c:x val="2.5236593059936908E-2"/>
              <c:y val="0.425374178973896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0440264"/>
        <c:crosses val="autoZero"/>
        <c:crossBetween val="between"/>
      </c:valAx>
      <c:spPr>
        <a:solidFill>
          <a:srgbClr val="FFFFFF"/>
        </a:solidFill>
        <a:ln w="12700">
          <a:solidFill>
            <a:srgbClr val="C0C0C0"/>
          </a:solidFill>
          <a:prstDash val="solid"/>
        </a:ln>
      </c:spPr>
    </c:plotArea>
    <c:legend>
      <c:legendPos val="b"/>
      <c:layout>
        <c:manualLayout>
          <c:xMode val="edge"/>
          <c:yMode val="edge"/>
          <c:wMode val="edge"/>
          <c:hMode val="edge"/>
          <c:x val="0.37224007882295468"/>
          <c:y val="0.91791279821365612"/>
          <c:w val="0.73343914818218692"/>
          <c:h val="0.98258967629046368"/>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Figure 8.2: Touch screen theory tests for private car drivers: % Pass Rates for Males/Females in NI/GB October 2010 to September 2011</a:t>
            </a:r>
          </a:p>
        </c:rich>
      </c:tx>
      <c:layout>
        <c:manualLayout>
          <c:xMode val="edge"/>
          <c:yMode val="edge"/>
          <c:x val="0.11111126874906402"/>
          <c:y val="2.0881670533642691E-2"/>
        </c:manualLayout>
      </c:layout>
      <c:overlay val="0"/>
      <c:spPr>
        <a:noFill/>
        <a:ln w="25400">
          <a:noFill/>
        </a:ln>
      </c:spPr>
    </c:title>
    <c:autoTitleDeleted val="0"/>
    <c:plotArea>
      <c:layout>
        <c:manualLayout>
          <c:layoutTarget val="inner"/>
          <c:xMode val="edge"/>
          <c:yMode val="edge"/>
          <c:x val="0.12912931847274786"/>
          <c:y val="0.18097447795823665"/>
          <c:w val="0.84985109599506148"/>
          <c:h val="0.63109048723897909"/>
        </c:manualLayout>
      </c:layout>
      <c:barChart>
        <c:barDir val="col"/>
        <c:grouping val="clustered"/>
        <c:varyColors val="0"/>
        <c:ser>
          <c:idx val="0"/>
          <c:order val="0"/>
          <c:tx>
            <c:v>Northern Ireland</c:v>
          </c:tx>
          <c:spPr>
            <a:solidFill>
              <a:srgbClr val="9999FF"/>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0.61</c:v>
              </c:pt>
              <c:pt idx="1">
                <c:v>0.65</c:v>
              </c:pt>
              <c:pt idx="2">
                <c:v>0.63</c:v>
              </c:pt>
            </c:numLit>
          </c:val>
          <c:extLst>
            <c:ext xmlns:c16="http://schemas.microsoft.com/office/drawing/2014/chart" uri="{C3380CC4-5D6E-409C-BE32-E72D297353CC}">
              <c16:uniqueId val="{00000000-13F0-47C3-8D2B-0AD36C547882}"/>
            </c:ext>
          </c:extLst>
        </c:ser>
        <c:ser>
          <c:idx val="1"/>
          <c:order val="1"/>
          <c:tx>
            <c:v>Great Britain</c:v>
          </c:tx>
          <c:spPr>
            <a:solidFill>
              <a:srgbClr val="993366"/>
            </a:solidFill>
            <a:ln w="12700">
              <a:solidFill>
                <a:srgbClr val="000000"/>
              </a:solidFill>
              <a:prstDash val="solid"/>
            </a:ln>
          </c:spPr>
          <c:invertIfNegative val="0"/>
          <c:cat>
            <c:strLit>
              <c:ptCount val="3"/>
              <c:pt idx="0">
                <c:v>Male</c:v>
              </c:pt>
              <c:pt idx="1">
                <c:v>Female</c:v>
              </c:pt>
              <c:pt idx="2">
                <c:v>All persons</c:v>
              </c:pt>
            </c:strLit>
          </c:cat>
          <c:val>
            <c:numLit>
              <c:formatCode>General</c:formatCode>
              <c:ptCount val="3"/>
              <c:pt idx="0">
                <c:v>0.6</c:v>
              </c:pt>
              <c:pt idx="1">
                <c:v>0.66</c:v>
              </c:pt>
              <c:pt idx="2">
                <c:v>0.63</c:v>
              </c:pt>
            </c:numLit>
          </c:val>
          <c:extLst>
            <c:ext xmlns:c16="http://schemas.microsoft.com/office/drawing/2014/chart" uri="{C3380CC4-5D6E-409C-BE32-E72D297353CC}">
              <c16:uniqueId val="{00000001-13F0-47C3-8D2B-0AD36C547882}"/>
            </c:ext>
          </c:extLst>
        </c:ser>
        <c:dLbls>
          <c:showLegendKey val="0"/>
          <c:showVal val="0"/>
          <c:showCatName val="0"/>
          <c:showSerName val="0"/>
          <c:showPercent val="0"/>
          <c:showBubbleSize val="0"/>
        </c:dLbls>
        <c:gapWidth val="150"/>
        <c:axId val="123518440"/>
        <c:axId val="1"/>
      </c:barChart>
      <c:catAx>
        <c:axId val="123518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0.7"/>
          <c:min val="0"/>
        </c:scaling>
        <c:delete val="0"/>
        <c:axPos val="l"/>
        <c:majorGridlines>
          <c:spPr>
            <a:ln w="12700">
              <a:solidFill>
                <a:srgbClr val="C0C0C0"/>
              </a:solidFill>
              <a:prstDash val="solid"/>
            </a:ln>
          </c:spPr>
        </c:majorGridlines>
        <c:title>
          <c:tx>
            <c:rich>
              <a:bodyPr/>
              <a:lstStyle/>
              <a:p>
                <a:pPr>
                  <a:defRPr sz="1150" b="1" i="0" u="none" strike="noStrike" baseline="0">
                    <a:solidFill>
                      <a:srgbClr val="000000"/>
                    </a:solidFill>
                    <a:latin typeface="Arial"/>
                    <a:ea typeface="Arial"/>
                    <a:cs typeface="Arial"/>
                  </a:defRPr>
                </a:pPr>
                <a:r>
                  <a:rPr lang="en-US"/>
                  <a:t>Pass Rate</a:t>
                </a:r>
              </a:p>
            </c:rich>
          </c:tx>
          <c:layout>
            <c:manualLayout>
              <c:xMode val="edge"/>
              <c:yMode val="edge"/>
              <c:x val="3.003003003003003E-2"/>
              <c:y val="0.4106728538283062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23518440"/>
        <c:crosses val="autoZero"/>
        <c:crossBetween val="between"/>
        <c:majorUnit val="0.1"/>
        <c:minorUnit val="0.1"/>
      </c:valAx>
      <c:spPr>
        <a:solidFill>
          <a:srgbClr val="FFFFFF"/>
        </a:solidFill>
        <a:ln w="12700">
          <a:solidFill>
            <a:srgbClr val="C0C0C0"/>
          </a:solidFill>
          <a:prstDash val="solid"/>
        </a:ln>
      </c:spPr>
    </c:plotArea>
    <c:legend>
      <c:legendPos val="b"/>
      <c:layout>
        <c:manualLayout>
          <c:xMode val="edge"/>
          <c:yMode val="edge"/>
          <c:wMode val="edge"/>
          <c:hMode val="edge"/>
          <c:x val="0.3648653377787236"/>
          <c:y val="0.92111368909512759"/>
          <c:w val="0.7372381830649547"/>
          <c:h val="0.98375870069605564"/>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371475</xdr:colOff>
      <xdr:row>0</xdr:row>
      <xdr:rowOff>0</xdr:rowOff>
    </xdr:to>
    <xdr:graphicFrame macro="">
      <xdr:nvGraphicFramePr>
        <xdr:cNvPr id="1044" name="Chart 2">
          <a:extLst>
            <a:ext uri="{FF2B5EF4-FFF2-40B4-BE49-F238E27FC236}">
              <a16:creationId xmlns:a16="http://schemas.microsoft.com/office/drawing/2014/main" id="{EA07A33F-D94D-4958-B512-E6B67F61A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7</xdr:col>
      <xdr:colOff>371475</xdr:colOff>
      <xdr:row>0</xdr:row>
      <xdr:rowOff>0</xdr:rowOff>
    </xdr:to>
    <xdr:graphicFrame macro="">
      <xdr:nvGraphicFramePr>
        <xdr:cNvPr id="1045" name="Chart 3">
          <a:extLst>
            <a:ext uri="{FF2B5EF4-FFF2-40B4-BE49-F238E27FC236}">
              <a16:creationId xmlns:a16="http://schemas.microsoft.com/office/drawing/2014/main" id="{54CE8B87-21A9-4B02-9950-DB24E0DB4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85725</xdr:rowOff>
    </xdr:from>
    <xdr:to>
      <xdr:col>7</xdr:col>
      <xdr:colOff>371475</xdr:colOff>
      <xdr:row>36</xdr:row>
      <xdr:rowOff>0</xdr:rowOff>
    </xdr:to>
    <xdr:graphicFrame macro="">
      <xdr:nvGraphicFramePr>
        <xdr:cNvPr id="1046" name="Chart 4">
          <a:extLst>
            <a:ext uri="{FF2B5EF4-FFF2-40B4-BE49-F238E27FC236}">
              <a16:creationId xmlns:a16="http://schemas.microsoft.com/office/drawing/2014/main" id="{A38476F1-0526-46E2-92D7-AE1CFAFE0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0</xdr:row>
      <xdr:rowOff>0</xdr:rowOff>
    </xdr:from>
    <xdr:to>
      <xdr:col>8</xdr:col>
      <xdr:colOff>600075</xdr:colOff>
      <xdr:row>0</xdr:row>
      <xdr:rowOff>0</xdr:rowOff>
    </xdr:to>
    <xdr:graphicFrame macro="">
      <xdr:nvGraphicFramePr>
        <xdr:cNvPr id="2068" name="Chart 2">
          <a:extLst>
            <a:ext uri="{FF2B5EF4-FFF2-40B4-BE49-F238E27FC236}">
              <a16:creationId xmlns:a16="http://schemas.microsoft.com/office/drawing/2014/main" id="{827BA322-FE54-4806-915A-93CA916E8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xdr:colOff>
      <xdr:row>0</xdr:row>
      <xdr:rowOff>0</xdr:rowOff>
    </xdr:from>
    <xdr:to>
      <xdr:col>8</xdr:col>
      <xdr:colOff>600075</xdr:colOff>
      <xdr:row>0</xdr:row>
      <xdr:rowOff>0</xdr:rowOff>
    </xdr:to>
    <xdr:graphicFrame macro="">
      <xdr:nvGraphicFramePr>
        <xdr:cNvPr id="2069" name="Chart 3">
          <a:extLst>
            <a:ext uri="{FF2B5EF4-FFF2-40B4-BE49-F238E27FC236}">
              <a16:creationId xmlns:a16="http://schemas.microsoft.com/office/drawing/2014/main" id="{2CC0BC7C-C656-4335-8D32-793D47AA4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xdr:colOff>
      <xdr:row>14</xdr:row>
      <xdr:rowOff>85725</xdr:rowOff>
    </xdr:from>
    <xdr:to>
      <xdr:col>8</xdr:col>
      <xdr:colOff>600075</xdr:colOff>
      <xdr:row>37</xdr:row>
      <xdr:rowOff>47625</xdr:rowOff>
    </xdr:to>
    <xdr:graphicFrame macro="">
      <xdr:nvGraphicFramePr>
        <xdr:cNvPr id="2070" name="Chart 4">
          <a:extLst>
            <a:ext uri="{FF2B5EF4-FFF2-40B4-BE49-F238E27FC236}">
              <a16:creationId xmlns:a16="http://schemas.microsoft.com/office/drawing/2014/main" id="{EE26212D-7EE5-4F5A-A7B1-C8A525638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8</xdr:col>
      <xdr:colOff>219075</xdr:colOff>
      <xdr:row>0</xdr:row>
      <xdr:rowOff>0</xdr:rowOff>
    </xdr:to>
    <xdr:graphicFrame macro="">
      <xdr:nvGraphicFramePr>
        <xdr:cNvPr id="3112" name="Chart 3">
          <a:extLst>
            <a:ext uri="{FF2B5EF4-FFF2-40B4-BE49-F238E27FC236}">
              <a16:creationId xmlns:a16="http://schemas.microsoft.com/office/drawing/2014/main" id="{5E948A78-CA4B-4D10-BCFF-F28E087C4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8</xdr:col>
      <xdr:colOff>514350</xdr:colOff>
      <xdr:row>0</xdr:row>
      <xdr:rowOff>0</xdr:rowOff>
    </xdr:to>
    <xdr:graphicFrame macro="">
      <xdr:nvGraphicFramePr>
        <xdr:cNvPr id="3113" name="Chart 5">
          <a:extLst>
            <a:ext uri="{FF2B5EF4-FFF2-40B4-BE49-F238E27FC236}">
              <a16:creationId xmlns:a16="http://schemas.microsoft.com/office/drawing/2014/main" id="{CD94E906-DCE9-4F78-A8D7-758CDE2E0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0</xdr:row>
      <xdr:rowOff>0</xdr:rowOff>
    </xdr:from>
    <xdr:to>
      <xdr:col>8</xdr:col>
      <xdr:colOff>219075</xdr:colOff>
      <xdr:row>0</xdr:row>
      <xdr:rowOff>0</xdr:rowOff>
    </xdr:to>
    <xdr:graphicFrame macro="">
      <xdr:nvGraphicFramePr>
        <xdr:cNvPr id="3114" name="Chart 6">
          <a:extLst>
            <a:ext uri="{FF2B5EF4-FFF2-40B4-BE49-F238E27FC236}">
              <a16:creationId xmlns:a16="http://schemas.microsoft.com/office/drawing/2014/main" id="{CDACFE27-7BB0-46F4-B13D-AE74557AC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8</xdr:col>
      <xdr:colOff>514350</xdr:colOff>
      <xdr:row>0</xdr:row>
      <xdr:rowOff>0</xdr:rowOff>
    </xdr:to>
    <xdr:graphicFrame macro="">
      <xdr:nvGraphicFramePr>
        <xdr:cNvPr id="3115" name="Chart 7">
          <a:extLst>
            <a:ext uri="{FF2B5EF4-FFF2-40B4-BE49-F238E27FC236}">
              <a16:creationId xmlns:a16="http://schemas.microsoft.com/office/drawing/2014/main" id="{778F5DDC-9473-472B-882F-5D5567922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12</xdr:row>
      <xdr:rowOff>66675</xdr:rowOff>
    </xdr:from>
    <xdr:to>
      <xdr:col>8</xdr:col>
      <xdr:colOff>219075</xdr:colOff>
      <xdr:row>36</xdr:row>
      <xdr:rowOff>9525</xdr:rowOff>
    </xdr:to>
    <xdr:graphicFrame macro="">
      <xdr:nvGraphicFramePr>
        <xdr:cNvPr id="3116" name="Chart 8">
          <a:extLst>
            <a:ext uri="{FF2B5EF4-FFF2-40B4-BE49-F238E27FC236}">
              <a16:creationId xmlns:a16="http://schemas.microsoft.com/office/drawing/2014/main" id="{5E8B25EC-ECAD-4CB4-B066-101716A53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51</xdr:row>
      <xdr:rowOff>152400</xdr:rowOff>
    </xdr:from>
    <xdr:to>
      <xdr:col>8</xdr:col>
      <xdr:colOff>514350</xdr:colOff>
      <xdr:row>77</xdr:row>
      <xdr:rowOff>47625</xdr:rowOff>
    </xdr:to>
    <xdr:graphicFrame macro="">
      <xdr:nvGraphicFramePr>
        <xdr:cNvPr id="3117" name="Chart 9">
          <a:extLst>
            <a:ext uri="{FF2B5EF4-FFF2-40B4-BE49-F238E27FC236}">
              <a16:creationId xmlns:a16="http://schemas.microsoft.com/office/drawing/2014/main" id="{625F682C-1392-4EDC-90C4-0046121F4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statisticsauthority.gov.uk/assessment/code-of-practice/code-of-practice-for-official-statistics.pdf" TargetMode="External"/><Relationship Id="rId7" Type="http://schemas.openxmlformats.org/officeDocument/2006/relationships/hyperlink" Target="http://www.dft.gov.uk/dsa/" TargetMode="External"/><Relationship Id="rId2" Type="http://schemas.openxmlformats.org/officeDocument/2006/relationships/hyperlink" Target="http://www.statisticsauthority.gov.uk/assessment/assessment-reports/index.html" TargetMode="External"/><Relationship Id="rId1" Type="http://schemas.openxmlformats.org/officeDocument/2006/relationships/hyperlink" Target="http://www.drdni.gov.uk/index/statistics/transport_statistics_users_group.htm" TargetMode="External"/><Relationship Id="rId6" Type="http://schemas.openxmlformats.org/officeDocument/2006/relationships/hyperlink" Target="http://www.dvani.gov.uk/" TargetMode="External"/><Relationship Id="rId5" Type="http://schemas.openxmlformats.org/officeDocument/2006/relationships/hyperlink" Target="http://www.translink.co.uk/" TargetMode="External"/><Relationship Id="rId4" Type="http://schemas.openxmlformats.org/officeDocument/2006/relationships/hyperlink" Target="http://www.dvani.gov.u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www.drdni.gov.uk/index/statistics.htm" TargetMode="External"/><Relationship Id="rId1" Type="http://schemas.openxmlformats.org/officeDocument/2006/relationships/hyperlink" Target="mailto:CSRB@drdni.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3"/>
  <sheetViews>
    <sheetView tabSelected="1" workbookViewId="0">
      <selection activeCell="B1" sqref="B1"/>
    </sheetView>
  </sheetViews>
  <sheetFormatPr defaultRowHeight="12.75" x14ac:dyDescent="0.2"/>
  <cols>
    <col min="1" max="1" width="8.5703125" style="20" customWidth="1"/>
    <col min="2" max="2" width="103.42578125" style="20" customWidth="1"/>
    <col min="3" max="16384" width="9.140625" style="20"/>
  </cols>
  <sheetData>
    <row r="1" spans="2:2" ht="177.75" x14ac:dyDescent="0.75">
      <c r="B1" s="299" t="s">
        <v>294</v>
      </c>
    </row>
    <row r="3" spans="2:2" ht="30" x14ac:dyDescent="0.4">
      <c r="B3" s="300" t="s">
        <v>443</v>
      </c>
    </row>
  </sheetData>
  <phoneticPr fontId="44"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opLeftCell="A10" workbookViewId="0">
      <selection activeCell="A35" sqref="A35"/>
    </sheetView>
  </sheetViews>
  <sheetFormatPr defaultRowHeight="12.75" x14ac:dyDescent="0.2"/>
  <cols>
    <col min="1" max="1" width="110" style="20" customWidth="1"/>
    <col min="2" max="2" width="9.7109375" style="20" customWidth="1"/>
    <col min="3" max="16384" width="9.140625" style="20"/>
  </cols>
  <sheetData>
    <row r="1" spans="1:2" ht="15" x14ac:dyDescent="0.25">
      <c r="A1" s="301" t="s">
        <v>295</v>
      </c>
    </row>
    <row r="2" spans="1:2" ht="15" x14ac:dyDescent="0.25">
      <c r="B2" s="301" t="s">
        <v>296</v>
      </c>
    </row>
    <row r="3" spans="1:2" x14ac:dyDescent="0.2">
      <c r="A3" s="302"/>
    </row>
    <row r="4" spans="1:2" x14ac:dyDescent="0.2">
      <c r="A4" s="302" t="s">
        <v>297</v>
      </c>
      <c r="B4" s="20">
        <v>2</v>
      </c>
    </row>
    <row r="6" spans="1:2" x14ac:dyDescent="0.2">
      <c r="A6" s="377" t="s">
        <v>444</v>
      </c>
      <c r="B6" s="20">
        <v>9</v>
      </c>
    </row>
    <row r="7" spans="1:2" x14ac:dyDescent="0.2">
      <c r="A7" s="377" t="s">
        <v>445</v>
      </c>
      <c r="B7" s="20">
        <v>10</v>
      </c>
    </row>
    <row r="8" spans="1:2" x14ac:dyDescent="0.2">
      <c r="A8" s="377" t="s">
        <v>446</v>
      </c>
      <c r="B8" s="20">
        <v>11</v>
      </c>
    </row>
    <row r="9" spans="1:2" x14ac:dyDescent="0.2">
      <c r="A9" s="377" t="s">
        <v>447</v>
      </c>
      <c r="B9" s="20">
        <v>7</v>
      </c>
    </row>
    <row r="10" spans="1:2" x14ac:dyDescent="0.2">
      <c r="A10" s="377" t="s">
        <v>448</v>
      </c>
      <c r="B10" s="20">
        <v>12</v>
      </c>
    </row>
    <row r="11" spans="1:2" x14ac:dyDescent="0.2">
      <c r="A11" s="377" t="s">
        <v>449</v>
      </c>
      <c r="B11" s="20">
        <v>13</v>
      </c>
    </row>
    <row r="12" spans="1:2" x14ac:dyDescent="0.2">
      <c r="A12" s="377" t="s">
        <v>450</v>
      </c>
      <c r="B12" s="20">
        <v>14</v>
      </c>
    </row>
    <row r="13" spans="1:2" x14ac:dyDescent="0.2">
      <c r="A13" s="377" t="s">
        <v>451</v>
      </c>
      <c r="B13" s="20">
        <v>15</v>
      </c>
    </row>
    <row r="14" spans="1:2" x14ac:dyDescent="0.2">
      <c r="A14" s="377" t="s">
        <v>452</v>
      </c>
      <c r="B14" s="20">
        <v>16</v>
      </c>
    </row>
    <row r="15" spans="1:2" x14ac:dyDescent="0.2">
      <c r="A15" s="377" t="s">
        <v>453</v>
      </c>
      <c r="B15" s="20">
        <v>17</v>
      </c>
    </row>
    <row r="16" spans="1:2" x14ac:dyDescent="0.2">
      <c r="A16" s="377" t="s">
        <v>454</v>
      </c>
      <c r="B16" s="20">
        <v>19</v>
      </c>
    </row>
    <row r="17" spans="1:2" x14ac:dyDescent="0.2">
      <c r="A17" s="302" t="s">
        <v>455</v>
      </c>
      <c r="B17" s="20">
        <v>19</v>
      </c>
    </row>
    <row r="18" spans="1:2" x14ac:dyDescent="0.2">
      <c r="A18" s="302" t="s">
        <v>456</v>
      </c>
      <c r="B18" s="20">
        <v>20</v>
      </c>
    </row>
    <row r="19" spans="1:2" x14ac:dyDescent="0.2">
      <c r="A19" s="302" t="s">
        <v>457</v>
      </c>
      <c r="B19" s="20">
        <v>20</v>
      </c>
    </row>
    <row r="20" spans="1:2" x14ac:dyDescent="0.2">
      <c r="A20" s="377" t="s">
        <v>0</v>
      </c>
      <c r="B20" s="20">
        <v>18</v>
      </c>
    </row>
    <row r="21" spans="1:2" x14ac:dyDescent="0.2">
      <c r="A21" s="377" t="s">
        <v>1</v>
      </c>
      <c r="B21" s="20">
        <v>21</v>
      </c>
    </row>
    <row r="22" spans="1:2" x14ac:dyDescent="0.2">
      <c r="A22" s="377" t="s">
        <v>2</v>
      </c>
      <c r="B22" s="20">
        <v>23</v>
      </c>
    </row>
    <row r="23" spans="1:2" x14ac:dyDescent="0.2">
      <c r="A23" s="377" t="s">
        <v>3</v>
      </c>
      <c r="B23" s="20">
        <v>23</v>
      </c>
    </row>
    <row r="24" spans="1:2" x14ac:dyDescent="0.2">
      <c r="A24" s="302" t="s">
        <v>4</v>
      </c>
      <c r="B24" s="20">
        <v>23</v>
      </c>
    </row>
    <row r="25" spans="1:2" x14ac:dyDescent="0.2">
      <c r="A25" s="302" t="s">
        <v>5</v>
      </c>
      <c r="B25" s="20">
        <v>23</v>
      </c>
    </row>
    <row r="26" spans="1:2" x14ac:dyDescent="0.2">
      <c r="A26" s="377" t="s">
        <v>6</v>
      </c>
      <c r="B26" s="20">
        <v>24</v>
      </c>
    </row>
    <row r="27" spans="1:2" x14ac:dyDescent="0.2">
      <c r="A27" s="302" t="s">
        <v>7</v>
      </c>
      <c r="B27" s="20">
        <v>24</v>
      </c>
    </row>
    <row r="28" spans="1:2" x14ac:dyDescent="0.2">
      <c r="A28" s="302" t="s">
        <v>8</v>
      </c>
      <c r="B28" s="20">
        <v>25</v>
      </c>
    </row>
    <row r="29" spans="1:2" x14ac:dyDescent="0.2">
      <c r="A29" s="302" t="s">
        <v>9</v>
      </c>
      <c r="B29" s="20">
        <v>25</v>
      </c>
    </row>
    <row r="30" spans="1:2" x14ac:dyDescent="0.2">
      <c r="A30" s="302" t="s">
        <v>10</v>
      </c>
      <c r="B30" s="20">
        <v>26</v>
      </c>
    </row>
    <row r="31" spans="1:2" x14ac:dyDescent="0.2">
      <c r="A31" s="302" t="s">
        <v>11</v>
      </c>
      <c r="B31" s="20">
        <v>26</v>
      </c>
    </row>
    <row r="32" spans="1:2" x14ac:dyDescent="0.2">
      <c r="A32" s="377" t="s">
        <v>12</v>
      </c>
      <c r="B32" s="20">
        <v>22</v>
      </c>
    </row>
    <row r="33" spans="1:2" x14ac:dyDescent="0.2">
      <c r="A33" s="302" t="s">
        <v>13</v>
      </c>
      <c r="B33" s="20">
        <v>22</v>
      </c>
    </row>
    <row r="35" spans="1:2" x14ac:dyDescent="0.2">
      <c r="A35" s="302" t="s">
        <v>298</v>
      </c>
      <c r="B35" s="20">
        <v>27</v>
      </c>
    </row>
  </sheetData>
  <phoneticPr fontId="44" type="noConversion"/>
  <hyperlinks>
    <hyperlink ref="A6" location="'1.1'!A1" display="Table 1.1 Motor vehicles registered for the first time: Apr-Jun 10 to Apr-Jun 11"/>
    <hyperlink ref="A7" location="'1.2'!A1" display="Table 1.2 Motor vehicles registered for the first time by month: Jan-Mar 11"/>
    <hyperlink ref="A8" location="'2.1'!A1" display="Table 2.1 New and used cars registered for the first time by make: Jan-Mar 10 to Jan-Mar 11"/>
    <hyperlink ref="A9" location="'Figure 2.1 Vehicle Registration'!A1" display="Figure 2.1: Cars registered for the first time by new/used breakdown: January- March quarter 2007 to 2011"/>
    <hyperlink ref="A10" location="'2.2'!A1" display="Table 2.2 New cars registered for the first time by make and month: Jan-Mar 11"/>
    <hyperlink ref="A11" location="'2.3'!A1" display="Table 2.3 Used cars registered for the first time by make and month: Jan-Mar 11"/>
    <hyperlink ref="A12" location="'3.1'!A1" display="Table 3.1 New and used light goods vehicles registered for the first time by make: Jan-Mar 10 to Jan- Mar 11"/>
    <hyperlink ref="A13" location="'3.2'!A1" display="Table 3.2 Light goods vehicles registered for the first time by make, month and new/used breakdown: Jan-Mar 11"/>
    <hyperlink ref="A14" location="'4.1'!A1" display="Table 4.1 New and used heavy goods vehicles registered for the first time by make: Jan-Mar 10 to Jan-Mar 11"/>
    <hyperlink ref="A15" location="'4.2'!A1" display="Table 4.2 Heavy goods vehicles registered for the first time by make, month and new/used breakdown: Jan-Mar 11"/>
    <hyperlink ref="A16" location="'5154'!A1" display="Table 5.1 Ulsterbus passenger journeys, bus miles and passenger receipts: Jan-Mar 10 to Jan-Mar 11"/>
    <hyperlink ref="A17" location="'5154'!A36" display="Table 5.2 Metro passenger journeys, bus miles and passenger receipts: Jul-Sep 10 to Jul-Sep 11"/>
    <hyperlink ref="A18" location="'5154'!A41" display="Table 5.3 Ulsterbus and Metro passenger journeys, bus miles and passenger receipts: Jul-Sep 10 to Jul-Sep 11"/>
    <hyperlink ref="A19" location="'5154'!A76" display="Table 5.4 NIR passenger journeys, passenger miles and passenger receipts: Jul-Sep 10 to Jul-Sep 11 "/>
    <hyperlink ref="A20" location="'Figure 5.1 Public Transport'!A1" display="Figure 5.1: Ulsterbus, Metro and NIR Weekly Average Passenger Journeys: Jan-Mar 2011p"/>
    <hyperlink ref="A21" location="'6.1'!A1" display="Table 6.1 Deliveries of petrol and diesel for use in Northern Ireland: Jan-Mar 10 to Jan-Mar 11"/>
    <hyperlink ref="A22" location="'7174'!A1" display="Table 7.1 Road annual vehicle test (MOT) - Motor cars: Jan-Mar 10 to Jan-Mar 11"/>
    <hyperlink ref="A23" location="'7174'!A1" display="Table 7.2 Road annual vehicle test (MOT) - Motorcycles: Jan-Mar 10 to Jan-Mar 11"/>
    <hyperlink ref="A24" location="'7174'!A36" display="Table 7.3 Public service vehicles annual vehicle test: Jul-Sep 10 to Jul-Sep 11"/>
    <hyperlink ref="A25" location="'7174'!A49" display="Table 7.4 Goods vehicles annual vehicle test: Jul-Sep 10 to Jul-Sep 11"/>
    <hyperlink ref="A26" location="'8186'!A1" display="Table 8.1 Car 'L' driving tests, NI/GB comparison: Jan-Mar 10 to Jan-Mar 11"/>
    <hyperlink ref="A27" location="'8186'!A37" display="Table 8.2 Touch screen theory tests for private car drivers, NI/GB comparison: Jul-Sep 10 to Jul-Sep 11"/>
    <hyperlink ref="A28" location="'8186'!A57" display="Table 8.3 Motorcycle 'L' driving tests, NI/GB comparison: Jul-Sep 10 to Jul-Sep 11"/>
    <hyperlink ref="A29" location="'8186'!A57" display="Table 8.4 Touch screen theory tests for motorcyclists, NI/GB comparison:Jul-Sep 10 to Jul-Sep 11"/>
    <hyperlink ref="A30" location="'8186'!A83" display="Table 8.5 Large goods vehicle driving tests, NI/GB comparison: Jul-Sep 10 to Jul-Sep 11"/>
    <hyperlink ref="A31" location="'8186'!A120" display="Table 8.6 Passenger carrying vehicle driving tests, NI/GB comparison: Jul-Sep 10 to Jul-Sep 11"/>
    <hyperlink ref="A32" location="'Figs 8.1 &amp; 8.2 Driver Testing'!A1" display="Figure 8.1: Car 'L' driving tests. % Pass Rates for Males/Females in NI/GB January to March 2011"/>
    <hyperlink ref="A33" location="'Figs 8.1 &amp; 8.2 Driver Testing'!A79" display="Figure 8.2: Touch screen theory tests for private car drivers: % Pass Rates for Males/Females in NI/GB July to September 2011"/>
    <hyperlink ref="A4" location="'User Information'!A1" display="User Information"/>
    <hyperlink ref="A35" location="'Technical Notes'!A1" display="Technical Notes"/>
  </hyperlink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9"/>
  <sheetViews>
    <sheetView topLeftCell="A154" workbookViewId="0">
      <selection activeCell="A51" sqref="A51"/>
    </sheetView>
  </sheetViews>
  <sheetFormatPr defaultRowHeight="12.75" x14ac:dyDescent="0.2"/>
  <cols>
    <col min="1" max="1" width="139.7109375" style="20" customWidth="1"/>
    <col min="2" max="16384" width="9.140625" style="20"/>
  </cols>
  <sheetData>
    <row r="1" spans="1:1" ht="18" x14ac:dyDescent="0.25">
      <c r="A1" s="303" t="s">
        <v>299</v>
      </c>
    </row>
    <row r="2" spans="1:1" ht="15" x14ac:dyDescent="0.2">
      <c r="A2" s="268"/>
    </row>
    <row r="3" spans="1:1" ht="30" x14ac:dyDescent="0.2">
      <c r="A3" s="304" t="s">
        <v>300</v>
      </c>
    </row>
    <row r="4" spans="1:1" ht="15" x14ac:dyDescent="0.2">
      <c r="A4" s="268"/>
    </row>
    <row r="5" spans="1:1" ht="18" x14ac:dyDescent="0.25">
      <c r="A5" s="305" t="s">
        <v>301</v>
      </c>
    </row>
    <row r="6" spans="1:1" ht="15" x14ac:dyDescent="0.2">
      <c r="A6" s="306"/>
    </row>
    <row r="7" spans="1:1" ht="15.75" x14ac:dyDescent="0.25">
      <c r="A7" s="307" t="s">
        <v>302</v>
      </c>
    </row>
    <row r="8" spans="1:1" x14ac:dyDescent="0.2">
      <c r="A8" s="308"/>
    </row>
    <row r="9" spans="1:1" ht="60" x14ac:dyDescent="0.2">
      <c r="A9" s="306" t="s">
        <v>303</v>
      </c>
    </row>
    <row r="10" spans="1:1" x14ac:dyDescent="0.2">
      <c r="A10" s="309"/>
    </row>
    <row r="11" spans="1:1" ht="45" x14ac:dyDescent="0.2">
      <c r="A11" s="306" t="s">
        <v>252</v>
      </c>
    </row>
    <row r="12" spans="1:1" x14ac:dyDescent="0.2">
      <c r="A12" s="308"/>
    </row>
    <row r="13" spans="1:1" ht="15" x14ac:dyDescent="0.2">
      <c r="A13" s="306" t="s">
        <v>304</v>
      </c>
    </row>
    <row r="14" spans="1:1" ht="15" x14ac:dyDescent="0.2">
      <c r="A14" s="306"/>
    </row>
    <row r="15" spans="1:1" ht="15" x14ac:dyDescent="0.2">
      <c r="A15" s="306"/>
    </row>
    <row r="16" spans="1:1" ht="15.75" x14ac:dyDescent="0.25">
      <c r="A16" s="307" t="s">
        <v>305</v>
      </c>
    </row>
    <row r="17" spans="1:1" ht="15.75" x14ac:dyDescent="0.25">
      <c r="A17" s="307"/>
    </row>
    <row r="18" spans="1:1" ht="45" x14ac:dyDescent="0.2">
      <c r="A18" s="310" t="s">
        <v>310</v>
      </c>
    </row>
    <row r="19" spans="1:1" x14ac:dyDescent="0.2">
      <c r="A19" s="311" t="s">
        <v>311</v>
      </c>
    </row>
    <row r="20" spans="1:1" x14ac:dyDescent="0.2">
      <c r="A20" s="312"/>
    </row>
    <row r="21" spans="1:1" ht="45" x14ac:dyDescent="0.2">
      <c r="A21" s="306" t="s">
        <v>312</v>
      </c>
    </row>
    <row r="22" spans="1:1" ht="15" x14ac:dyDescent="0.2">
      <c r="A22" s="304"/>
    </row>
    <row r="23" spans="1:1" ht="15.75" x14ac:dyDescent="0.25">
      <c r="A23" s="307" t="s">
        <v>313</v>
      </c>
    </row>
    <row r="24" spans="1:1" x14ac:dyDescent="0.2">
      <c r="A24" s="308"/>
    </row>
    <row r="25" spans="1:1" ht="60" x14ac:dyDescent="0.2">
      <c r="A25" s="306" t="s">
        <v>253</v>
      </c>
    </row>
    <row r="26" spans="1:1" x14ac:dyDescent="0.2">
      <c r="A26" s="313" t="s">
        <v>314</v>
      </c>
    </row>
    <row r="27" spans="1:1" x14ac:dyDescent="0.2">
      <c r="A27" s="314"/>
    </row>
    <row r="28" spans="1:1" ht="30" x14ac:dyDescent="0.2">
      <c r="A28" s="306" t="s">
        <v>315</v>
      </c>
    </row>
    <row r="29" spans="1:1" x14ac:dyDescent="0.2">
      <c r="A29" s="315"/>
    </row>
    <row r="30" spans="1:1" ht="30" x14ac:dyDescent="0.2">
      <c r="A30" s="316" t="s">
        <v>316</v>
      </c>
    </row>
    <row r="31" spans="1:1" ht="15" x14ac:dyDescent="0.2">
      <c r="A31" s="317" t="s">
        <v>317</v>
      </c>
    </row>
    <row r="32" spans="1:1" ht="15.75" x14ac:dyDescent="0.25">
      <c r="A32" s="318" t="s">
        <v>318</v>
      </c>
    </row>
    <row r="33" spans="1:1" ht="15.75" x14ac:dyDescent="0.25">
      <c r="A33" s="318" t="s">
        <v>319</v>
      </c>
    </row>
    <row r="34" spans="1:1" ht="15.75" x14ac:dyDescent="0.25">
      <c r="A34" s="318" t="s">
        <v>350</v>
      </c>
    </row>
    <row r="35" spans="1:1" ht="15.75" x14ac:dyDescent="0.25">
      <c r="A35" s="319" t="s">
        <v>351</v>
      </c>
    </row>
    <row r="36" spans="1:1" x14ac:dyDescent="0.2">
      <c r="A36" s="320"/>
    </row>
    <row r="37" spans="1:1" ht="30" x14ac:dyDescent="0.2">
      <c r="A37" s="321" t="s">
        <v>352</v>
      </c>
    </row>
    <row r="38" spans="1:1" x14ac:dyDescent="0.2">
      <c r="A38" s="322"/>
    </row>
    <row r="39" spans="1:1" ht="15" x14ac:dyDescent="0.2">
      <c r="A39" s="306" t="s">
        <v>353</v>
      </c>
    </row>
    <row r="40" spans="1:1" x14ac:dyDescent="0.2">
      <c r="A40" s="313" t="s">
        <v>354</v>
      </c>
    </row>
    <row r="41" spans="1:1" x14ac:dyDescent="0.2">
      <c r="A41" s="323"/>
    </row>
    <row r="42" spans="1:1" ht="30" x14ac:dyDescent="0.2">
      <c r="A42" s="306" t="s">
        <v>355</v>
      </c>
    </row>
    <row r="43" spans="1:1" x14ac:dyDescent="0.2">
      <c r="A43" s="308"/>
    </row>
    <row r="44" spans="1:1" ht="45" x14ac:dyDescent="0.2">
      <c r="A44" s="306" t="s">
        <v>27</v>
      </c>
    </row>
    <row r="45" spans="1:1" ht="15" x14ac:dyDescent="0.2">
      <c r="A45" s="306"/>
    </row>
    <row r="46" spans="1:1" ht="15" x14ac:dyDescent="0.2">
      <c r="A46" s="382" t="s">
        <v>156</v>
      </c>
    </row>
    <row r="47" spans="1:1" ht="15" x14ac:dyDescent="0.2">
      <c r="A47" s="268"/>
    </row>
    <row r="48" spans="1:1" ht="18" x14ac:dyDescent="0.25">
      <c r="A48" s="324" t="s">
        <v>356</v>
      </c>
    </row>
    <row r="49" spans="1:1" ht="15" x14ac:dyDescent="0.2">
      <c r="A49" s="304"/>
    </row>
    <row r="50" spans="1:1" ht="15.75" x14ac:dyDescent="0.25">
      <c r="A50" s="325" t="s">
        <v>357</v>
      </c>
    </row>
    <row r="51" spans="1:1" ht="30.75" x14ac:dyDescent="0.2">
      <c r="A51" s="326" t="s">
        <v>358</v>
      </c>
    </row>
    <row r="52" spans="1:1" ht="15" x14ac:dyDescent="0.2">
      <c r="A52" s="304"/>
    </row>
    <row r="53" spans="1:1" ht="15.75" x14ac:dyDescent="0.25">
      <c r="A53" s="307" t="s">
        <v>359</v>
      </c>
    </row>
    <row r="54" spans="1:1" x14ac:dyDescent="0.2">
      <c r="A54" s="323"/>
    </row>
    <row r="55" spans="1:1" ht="15" x14ac:dyDescent="0.2">
      <c r="A55" s="327" t="s">
        <v>360</v>
      </c>
    </row>
    <row r="56" spans="1:1" ht="30" x14ac:dyDescent="0.2">
      <c r="A56" s="306" t="s">
        <v>361</v>
      </c>
    </row>
    <row r="57" spans="1:1" x14ac:dyDescent="0.2">
      <c r="A57" s="323"/>
    </row>
    <row r="58" spans="1:1" ht="15" x14ac:dyDescent="0.2">
      <c r="A58" s="327" t="s">
        <v>362</v>
      </c>
    </row>
    <row r="59" spans="1:1" x14ac:dyDescent="0.2">
      <c r="A59" s="313" t="s">
        <v>363</v>
      </c>
    </row>
    <row r="60" spans="1:1" x14ac:dyDescent="0.2">
      <c r="A60" s="323"/>
    </row>
    <row r="61" spans="1:1" ht="15" x14ac:dyDescent="0.2">
      <c r="A61" s="327" t="s">
        <v>364</v>
      </c>
    </row>
    <row r="62" spans="1:1" ht="45" x14ac:dyDescent="0.2">
      <c r="A62" s="306" t="s">
        <v>365</v>
      </c>
    </row>
    <row r="63" spans="1:1" x14ac:dyDescent="0.2">
      <c r="A63" s="323"/>
    </row>
    <row r="64" spans="1:1" ht="15" x14ac:dyDescent="0.2">
      <c r="A64" s="327" t="s">
        <v>366</v>
      </c>
    </row>
    <row r="65" spans="1:1" ht="15" x14ac:dyDescent="0.2">
      <c r="A65" s="327"/>
    </row>
    <row r="66" spans="1:1" ht="45" x14ac:dyDescent="0.2">
      <c r="A66" s="328" t="s">
        <v>371</v>
      </c>
    </row>
    <row r="67" spans="1:1" ht="15" x14ac:dyDescent="0.2">
      <c r="A67" s="328"/>
    </row>
    <row r="68" spans="1:1" ht="45" x14ac:dyDescent="0.2">
      <c r="A68" s="328" t="s">
        <v>372</v>
      </c>
    </row>
    <row r="69" spans="1:1" ht="15" x14ac:dyDescent="0.2">
      <c r="A69" s="329"/>
    </row>
    <row r="70" spans="1:1" ht="15.75" x14ac:dyDescent="0.25">
      <c r="A70" s="307" t="s">
        <v>373</v>
      </c>
    </row>
    <row r="71" spans="1:1" ht="15.75" x14ac:dyDescent="0.25">
      <c r="A71" s="307"/>
    </row>
    <row r="72" spans="1:1" ht="15" x14ac:dyDescent="0.2">
      <c r="A72" s="306" t="s">
        <v>157</v>
      </c>
    </row>
    <row r="73" spans="1:1" ht="15" x14ac:dyDescent="0.2">
      <c r="A73" s="306"/>
    </row>
    <row r="74" spans="1:1" ht="15" x14ac:dyDescent="0.2">
      <c r="A74" s="327" t="s">
        <v>360</v>
      </c>
    </row>
    <row r="75" spans="1:1" x14ac:dyDescent="0.2">
      <c r="A75" s="330"/>
    </row>
    <row r="76" spans="1:1" ht="30" x14ac:dyDescent="0.2">
      <c r="A76" s="306" t="s">
        <v>374</v>
      </c>
    </row>
    <row r="77" spans="1:1" ht="15" x14ac:dyDescent="0.2">
      <c r="A77" s="327"/>
    </row>
    <row r="78" spans="1:1" ht="15" x14ac:dyDescent="0.2">
      <c r="A78" s="327" t="s">
        <v>362</v>
      </c>
    </row>
    <row r="79" spans="1:1" x14ac:dyDescent="0.2">
      <c r="A79" s="313" t="s">
        <v>375</v>
      </c>
    </row>
    <row r="80" spans="1:1" ht="15" x14ac:dyDescent="0.2">
      <c r="A80" s="306"/>
    </row>
    <row r="81" spans="1:1" ht="15" x14ac:dyDescent="0.2">
      <c r="A81" s="327" t="s">
        <v>364</v>
      </c>
    </row>
    <row r="82" spans="1:1" x14ac:dyDescent="0.2">
      <c r="A82" s="330"/>
    </row>
    <row r="83" spans="1:1" ht="60" x14ac:dyDescent="0.2">
      <c r="A83" s="306" t="s">
        <v>376</v>
      </c>
    </row>
    <row r="84" spans="1:1" ht="15" x14ac:dyDescent="0.2">
      <c r="A84" s="306"/>
    </row>
    <row r="85" spans="1:1" ht="15" x14ac:dyDescent="0.2">
      <c r="A85" s="327" t="s">
        <v>366</v>
      </c>
    </row>
    <row r="86" spans="1:1" x14ac:dyDescent="0.2">
      <c r="A86" s="330"/>
    </row>
    <row r="87" spans="1:1" ht="30" x14ac:dyDescent="0.2">
      <c r="A87" s="331" t="s">
        <v>377</v>
      </c>
    </row>
    <row r="88" spans="1:1" ht="45" x14ac:dyDescent="0.2">
      <c r="A88" s="331" t="s">
        <v>196</v>
      </c>
    </row>
    <row r="89" spans="1:1" ht="30" x14ac:dyDescent="0.2">
      <c r="A89" s="331" t="s">
        <v>378</v>
      </c>
    </row>
    <row r="90" spans="1:1" ht="30" x14ac:dyDescent="0.2">
      <c r="A90" s="331" t="s">
        <v>379</v>
      </c>
    </row>
    <row r="91" spans="1:1" ht="45" x14ac:dyDescent="0.2">
      <c r="A91" s="331" t="s">
        <v>158</v>
      </c>
    </row>
    <row r="92" spans="1:1" ht="15" x14ac:dyDescent="0.2">
      <c r="A92" s="304"/>
    </row>
    <row r="93" spans="1:1" ht="15.75" x14ac:dyDescent="0.25">
      <c r="A93" s="307" t="s">
        <v>380</v>
      </c>
    </row>
    <row r="94" spans="1:1" ht="15" x14ac:dyDescent="0.2">
      <c r="A94" s="306"/>
    </row>
    <row r="95" spans="1:1" ht="15" x14ac:dyDescent="0.2">
      <c r="A95" s="306" t="s">
        <v>381</v>
      </c>
    </row>
    <row r="96" spans="1:1" ht="15" x14ac:dyDescent="0.2">
      <c r="A96" s="306"/>
    </row>
    <row r="97" spans="1:1" ht="15" x14ac:dyDescent="0.2">
      <c r="A97" s="327" t="s">
        <v>360</v>
      </c>
    </row>
    <row r="98" spans="1:1" x14ac:dyDescent="0.2">
      <c r="A98" s="330"/>
    </row>
    <row r="99" spans="1:1" ht="45" x14ac:dyDescent="0.2">
      <c r="A99" s="306" t="s">
        <v>53</v>
      </c>
    </row>
    <row r="100" spans="1:1" ht="15" x14ac:dyDescent="0.2">
      <c r="A100" s="306"/>
    </row>
    <row r="101" spans="1:1" ht="15" x14ac:dyDescent="0.2">
      <c r="A101" s="327" t="s">
        <v>362</v>
      </c>
    </row>
    <row r="102" spans="1:1" x14ac:dyDescent="0.2">
      <c r="A102" s="313" t="s">
        <v>54</v>
      </c>
    </row>
    <row r="103" spans="1:1" ht="15" x14ac:dyDescent="0.2">
      <c r="A103" s="306"/>
    </row>
    <row r="104" spans="1:1" ht="15" x14ac:dyDescent="0.2">
      <c r="A104" s="327" t="s">
        <v>364</v>
      </c>
    </row>
    <row r="105" spans="1:1" x14ac:dyDescent="0.2">
      <c r="A105" s="330"/>
    </row>
    <row r="106" spans="1:1" ht="60" x14ac:dyDescent="0.2">
      <c r="A106" s="306" t="s">
        <v>382</v>
      </c>
    </row>
    <row r="107" spans="1:1" ht="15" x14ac:dyDescent="0.2">
      <c r="A107" s="306"/>
    </row>
    <row r="108" spans="1:1" ht="15" x14ac:dyDescent="0.2">
      <c r="A108" s="327" t="s">
        <v>366</v>
      </c>
    </row>
    <row r="109" spans="1:1" x14ac:dyDescent="0.2">
      <c r="A109" s="330"/>
    </row>
    <row r="110" spans="1:1" ht="30" x14ac:dyDescent="0.2">
      <c r="A110" s="331" t="s">
        <v>383</v>
      </c>
    </row>
    <row r="111" spans="1:1" ht="45" x14ac:dyDescent="0.2">
      <c r="A111" s="331" t="s">
        <v>384</v>
      </c>
    </row>
    <row r="112" spans="1:1" ht="15" x14ac:dyDescent="0.2">
      <c r="A112" s="304"/>
    </row>
    <row r="113" spans="1:1" ht="15.75" x14ac:dyDescent="0.25">
      <c r="A113" s="307" t="s">
        <v>385</v>
      </c>
    </row>
    <row r="114" spans="1:1" ht="15" x14ac:dyDescent="0.2">
      <c r="A114" s="306"/>
    </row>
    <row r="115" spans="1:1" ht="15" x14ac:dyDescent="0.2">
      <c r="A115" s="327" t="s">
        <v>360</v>
      </c>
    </row>
    <row r="116" spans="1:1" x14ac:dyDescent="0.2">
      <c r="A116" s="330"/>
    </row>
    <row r="117" spans="1:1" ht="60" x14ac:dyDescent="0.2">
      <c r="A117" s="306" t="s">
        <v>414</v>
      </c>
    </row>
    <row r="118" spans="1:1" ht="15" x14ac:dyDescent="0.2">
      <c r="A118" s="306"/>
    </row>
    <row r="119" spans="1:1" ht="15" x14ac:dyDescent="0.2">
      <c r="A119" s="327" t="s">
        <v>415</v>
      </c>
    </row>
    <row r="120" spans="1:1" x14ac:dyDescent="0.2">
      <c r="A120" s="313" t="s">
        <v>363</v>
      </c>
    </row>
    <row r="121" spans="1:1" x14ac:dyDescent="0.2">
      <c r="A121" s="313" t="s">
        <v>416</v>
      </c>
    </row>
    <row r="122" spans="1:1" ht="15" x14ac:dyDescent="0.2">
      <c r="A122" s="306"/>
    </row>
    <row r="123" spans="1:1" ht="15" x14ac:dyDescent="0.2">
      <c r="A123" s="327" t="s">
        <v>417</v>
      </c>
    </row>
    <row r="124" spans="1:1" x14ac:dyDescent="0.2">
      <c r="A124" s="330"/>
    </row>
    <row r="125" spans="1:1" ht="45" x14ac:dyDescent="0.2">
      <c r="A125" s="306" t="s">
        <v>418</v>
      </c>
    </row>
    <row r="126" spans="1:1" ht="15" x14ac:dyDescent="0.2">
      <c r="A126" s="327"/>
    </row>
    <row r="127" spans="1:1" ht="15" x14ac:dyDescent="0.2">
      <c r="A127" s="327" t="s">
        <v>364</v>
      </c>
    </row>
    <row r="128" spans="1:1" x14ac:dyDescent="0.2">
      <c r="A128" s="330"/>
    </row>
    <row r="129" spans="1:1" ht="45" x14ac:dyDescent="0.2">
      <c r="A129" s="306" t="s">
        <v>419</v>
      </c>
    </row>
    <row r="130" spans="1:1" ht="15" x14ac:dyDescent="0.2">
      <c r="A130" s="306"/>
    </row>
    <row r="131" spans="1:1" ht="15" x14ac:dyDescent="0.2">
      <c r="A131" s="327" t="s">
        <v>366</v>
      </c>
    </row>
    <row r="132" spans="1:1" x14ac:dyDescent="0.2">
      <c r="A132" s="330"/>
    </row>
    <row r="133" spans="1:1" ht="45" x14ac:dyDescent="0.2">
      <c r="A133" s="331" t="s">
        <v>159</v>
      </c>
    </row>
    <row r="134" spans="1:1" ht="60" x14ac:dyDescent="0.2">
      <c r="A134" s="331" t="s">
        <v>420</v>
      </c>
    </row>
    <row r="135" spans="1:1" ht="15" x14ac:dyDescent="0.2">
      <c r="A135" s="331"/>
    </row>
    <row r="136" spans="1:1" ht="45" x14ac:dyDescent="0.2">
      <c r="A136" s="331" t="s">
        <v>421</v>
      </c>
    </row>
    <row r="137" spans="1:1" ht="15" x14ac:dyDescent="0.2">
      <c r="A137" s="332"/>
    </row>
    <row r="138" spans="1:1" ht="15.75" x14ac:dyDescent="0.25">
      <c r="A138" s="333" t="s">
        <v>422</v>
      </c>
    </row>
    <row r="139" spans="1:1" ht="15.75" x14ac:dyDescent="0.25">
      <c r="A139" s="334"/>
    </row>
    <row r="140" spans="1:1" ht="33" x14ac:dyDescent="0.2">
      <c r="A140" s="306" t="s">
        <v>160</v>
      </c>
    </row>
    <row r="141" spans="1:1" ht="15" x14ac:dyDescent="0.2">
      <c r="A141" s="321"/>
    </row>
    <row r="142" spans="1:1" ht="15" x14ac:dyDescent="0.2">
      <c r="A142" s="335" t="s">
        <v>423</v>
      </c>
    </row>
    <row r="143" spans="1:1" x14ac:dyDescent="0.2">
      <c r="A143" s="336"/>
    </row>
    <row r="144" spans="1:1" ht="60.75" x14ac:dyDescent="0.2">
      <c r="A144" s="337" t="s">
        <v>438</v>
      </c>
    </row>
    <row r="145" spans="1:1" ht="30.75" x14ac:dyDescent="0.2">
      <c r="A145" s="337" t="s">
        <v>439</v>
      </c>
    </row>
    <row r="146" spans="1:1" ht="15" x14ac:dyDescent="0.2">
      <c r="A146" s="321"/>
    </row>
    <row r="147" spans="1:1" ht="15" x14ac:dyDescent="0.2">
      <c r="A147" s="335" t="s">
        <v>417</v>
      </c>
    </row>
    <row r="148" spans="1:1" x14ac:dyDescent="0.2">
      <c r="A148" s="338"/>
    </row>
    <row r="149" spans="1:1" ht="30" x14ac:dyDescent="0.2">
      <c r="A149" s="321" t="s">
        <v>440</v>
      </c>
    </row>
    <row r="150" spans="1:1" ht="15" x14ac:dyDescent="0.2">
      <c r="A150" s="335"/>
    </row>
    <row r="151" spans="1:1" ht="15" x14ac:dyDescent="0.2">
      <c r="A151" s="335" t="s">
        <v>442</v>
      </c>
    </row>
    <row r="152" spans="1:1" x14ac:dyDescent="0.2">
      <c r="A152" s="338"/>
    </row>
    <row r="153" spans="1:1" ht="30" x14ac:dyDescent="0.2">
      <c r="A153" s="321" t="s">
        <v>161</v>
      </c>
    </row>
    <row r="154" spans="1:1" ht="90.75" x14ac:dyDescent="0.2">
      <c r="A154" s="337" t="s">
        <v>162</v>
      </c>
    </row>
    <row r="155" spans="1:1" ht="90.75" x14ac:dyDescent="0.2">
      <c r="A155" s="337" t="s">
        <v>163</v>
      </c>
    </row>
    <row r="156" spans="1:1" ht="15.75" x14ac:dyDescent="0.25">
      <c r="A156" s="339"/>
    </row>
    <row r="157" spans="1:1" ht="15.75" x14ac:dyDescent="0.25">
      <c r="A157" s="325" t="s">
        <v>14</v>
      </c>
    </row>
    <row r="158" spans="1:1" x14ac:dyDescent="0.2">
      <c r="A158" s="340"/>
    </row>
    <row r="159" spans="1:1" ht="30" x14ac:dyDescent="0.2">
      <c r="A159" s="304" t="s">
        <v>55</v>
      </c>
    </row>
  </sheetData>
  <phoneticPr fontId="44" type="noConversion"/>
  <hyperlinks>
    <hyperlink ref="A19" r:id="rId1" display="http://www.drdni.gov.uk/index/statistics/transport_statistics_users_group.htm"/>
    <hyperlink ref="A26" r:id="rId2"/>
    <hyperlink ref="A40" r:id="rId3"/>
    <hyperlink ref="A59" r:id="rId4"/>
    <hyperlink ref="A79" r:id="rId5"/>
    <hyperlink ref="A120" r:id="rId6"/>
    <hyperlink ref="A121" r:id="rId7"/>
  </hyperlinks>
  <pageMargins left="0.75" right="0.75" top="1" bottom="1" header="0.5" footer="0.5"/>
  <pageSetup paperSize="9" orientation="portrait" r:id="rId8"/>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8"/>
  <sheetViews>
    <sheetView showGridLines="0" workbookViewId="0">
      <selection activeCell="F46" sqref="F46"/>
    </sheetView>
  </sheetViews>
  <sheetFormatPr defaultRowHeight="12.75" x14ac:dyDescent="0.2"/>
  <cols>
    <col min="1" max="1" width="35.85546875" style="5" customWidth="1"/>
    <col min="2" max="6" width="12.140625" style="5" customWidth="1"/>
    <col min="7" max="16384" width="9.140625" style="5"/>
  </cols>
  <sheetData>
    <row r="1" spans="1:6" s="17" customFormat="1" ht="15" customHeight="1" x14ac:dyDescent="0.25">
      <c r="A1" s="130" t="s">
        <v>386</v>
      </c>
    </row>
    <row r="2" spans="1:6" ht="17.25" customHeight="1" thickBot="1" x14ac:dyDescent="0.3">
      <c r="A2" s="43"/>
    </row>
    <row r="3" spans="1:6" ht="17.25" customHeight="1" x14ac:dyDescent="0.2">
      <c r="A3" s="56"/>
      <c r="B3" s="57" t="s">
        <v>268</v>
      </c>
      <c r="C3" s="57" t="s">
        <v>387</v>
      </c>
      <c r="D3" s="57" t="s">
        <v>278</v>
      </c>
      <c r="E3" s="57" t="s">
        <v>320</v>
      </c>
      <c r="F3" s="57" t="s">
        <v>388</v>
      </c>
    </row>
    <row r="4" spans="1:6" ht="17.25" customHeight="1" x14ac:dyDescent="0.2">
      <c r="A4" s="2" t="s">
        <v>96</v>
      </c>
    </row>
    <row r="5" spans="1:6" x14ac:dyDescent="0.2">
      <c r="A5" s="3" t="s">
        <v>178</v>
      </c>
      <c r="B5" s="58">
        <v>9882</v>
      </c>
      <c r="C5" s="58">
        <v>5023</v>
      </c>
      <c r="D5" s="58">
        <v>13345</v>
      </c>
      <c r="E5" s="58">
        <v>8727</v>
      </c>
      <c r="F5" s="58">
        <v>9019</v>
      </c>
    </row>
    <row r="6" spans="1:6" x14ac:dyDescent="0.2">
      <c r="A6" s="3" t="s">
        <v>97</v>
      </c>
      <c r="B6" s="58">
        <v>1</v>
      </c>
      <c r="C6" s="58">
        <v>0</v>
      </c>
      <c r="D6" s="58">
        <v>16</v>
      </c>
      <c r="E6" s="58">
        <v>11</v>
      </c>
      <c r="F6" s="58">
        <v>1</v>
      </c>
    </row>
    <row r="7" spans="1:6" x14ac:dyDescent="0.2">
      <c r="A7" s="3" t="s">
        <v>98</v>
      </c>
      <c r="B7" s="58">
        <v>3054</v>
      </c>
      <c r="C7" s="58">
        <v>2646</v>
      </c>
      <c r="D7" s="58">
        <v>3225</v>
      </c>
      <c r="E7" s="58">
        <v>3426</v>
      </c>
      <c r="F7" s="58">
        <v>3042</v>
      </c>
    </row>
    <row r="8" spans="1:6" x14ac:dyDescent="0.2">
      <c r="A8" s="3" t="s">
        <v>179</v>
      </c>
      <c r="B8" s="58">
        <v>7724</v>
      </c>
      <c r="C8" s="58">
        <v>6284</v>
      </c>
      <c r="D8" s="58">
        <v>7540</v>
      </c>
      <c r="E8" s="58">
        <v>7296</v>
      </c>
      <c r="F8" s="58">
        <v>7670</v>
      </c>
    </row>
    <row r="9" spans="1:6" x14ac:dyDescent="0.2">
      <c r="A9" s="3" t="s">
        <v>99</v>
      </c>
      <c r="B9" s="58">
        <v>1</v>
      </c>
      <c r="C9" s="58">
        <v>0</v>
      </c>
      <c r="D9" s="58">
        <v>0</v>
      </c>
      <c r="E9" s="58">
        <v>0</v>
      </c>
      <c r="F9" s="58">
        <v>0</v>
      </c>
    </row>
    <row r="10" spans="1:6" x14ac:dyDescent="0.2">
      <c r="A10" s="3" t="s">
        <v>204</v>
      </c>
      <c r="B10" s="58">
        <v>287</v>
      </c>
      <c r="C10" s="58">
        <v>201</v>
      </c>
      <c r="D10" s="58">
        <v>244</v>
      </c>
      <c r="E10" s="58">
        <v>298</v>
      </c>
      <c r="F10" s="58">
        <v>281</v>
      </c>
    </row>
    <row r="11" spans="1:6" x14ac:dyDescent="0.2">
      <c r="A11" s="3"/>
      <c r="B11" s="58"/>
      <c r="C11" s="58"/>
      <c r="D11" s="58"/>
      <c r="E11" s="58"/>
      <c r="F11" s="58"/>
    </row>
    <row r="12" spans="1:6" x14ac:dyDescent="0.2">
      <c r="A12" s="2" t="s">
        <v>212</v>
      </c>
      <c r="B12" s="59">
        <v>20949</v>
      </c>
      <c r="C12" s="59">
        <v>14154</v>
      </c>
      <c r="D12" s="59">
        <v>24370</v>
      </c>
      <c r="E12" s="59">
        <v>19758</v>
      </c>
      <c r="F12" s="59">
        <v>20013</v>
      </c>
    </row>
    <row r="13" spans="1:6" x14ac:dyDescent="0.2">
      <c r="A13" s="3"/>
      <c r="B13" s="58"/>
      <c r="C13" s="58"/>
      <c r="D13" s="58"/>
      <c r="E13" s="58"/>
      <c r="F13" s="58"/>
    </row>
    <row r="14" spans="1:6" x14ac:dyDescent="0.2">
      <c r="A14" s="2" t="s">
        <v>213</v>
      </c>
      <c r="B14" s="59">
        <v>100</v>
      </c>
      <c r="C14" s="59">
        <v>41</v>
      </c>
      <c r="D14" s="59">
        <v>94</v>
      </c>
      <c r="E14" s="59">
        <v>106</v>
      </c>
      <c r="F14" s="59">
        <v>57</v>
      </c>
    </row>
    <row r="15" spans="1:6" x14ac:dyDescent="0.2">
      <c r="A15" s="3"/>
      <c r="B15" s="58"/>
      <c r="C15" s="58"/>
      <c r="D15" s="58"/>
      <c r="E15" s="58"/>
      <c r="F15" s="58"/>
    </row>
    <row r="16" spans="1:6" x14ac:dyDescent="0.2">
      <c r="A16" s="2" t="s">
        <v>150</v>
      </c>
      <c r="B16" s="58"/>
      <c r="C16" s="58"/>
      <c r="D16" s="58"/>
      <c r="E16" s="58"/>
      <c r="F16" s="58"/>
    </row>
    <row r="17" spans="1:6" x14ac:dyDescent="0.2">
      <c r="A17" s="3" t="s">
        <v>150</v>
      </c>
      <c r="B17" s="58">
        <v>1968</v>
      </c>
      <c r="C17" s="58">
        <v>1601</v>
      </c>
      <c r="D17" s="58">
        <v>2661</v>
      </c>
      <c r="E17" s="58">
        <v>2030</v>
      </c>
      <c r="F17" s="58">
        <v>2384</v>
      </c>
    </row>
    <row r="18" spans="1:6" x14ac:dyDescent="0.2">
      <c r="A18" s="3" t="s">
        <v>151</v>
      </c>
      <c r="B18" s="58">
        <v>0</v>
      </c>
      <c r="C18" s="58">
        <v>1</v>
      </c>
      <c r="D18" s="58">
        <v>15</v>
      </c>
      <c r="E18" s="58">
        <v>8</v>
      </c>
      <c r="F18" s="58">
        <v>1</v>
      </c>
    </row>
    <row r="19" spans="1:6" x14ac:dyDescent="0.2">
      <c r="A19" s="3" t="s">
        <v>152</v>
      </c>
      <c r="B19" s="58">
        <v>52</v>
      </c>
      <c r="C19" s="58">
        <v>47</v>
      </c>
      <c r="D19" s="58">
        <v>122</v>
      </c>
      <c r="E19" s="58">
        <v>87</v>
      </c>
      <c r="F19" s="58">
        <v>47</v>
      </c>
    </row>
    <row r="20" spans="1:6" x14ac:dyDescent="0.2">
      <c r="A20" s="3"/>
      <c r="B20" s="58"/>
      <c r="C20" s="58"/>
      <c r="D20" s="58"/>
      <c r="E20" s="58"/>
      <c r="F20" s="58"/>
    </row>
    <row r="21" spans="1:6" x14ac:dyDescent="0.2">
      <c r="A21" s="2" t="s">
        <v>214</v>
      </c>
      <c r="B21" s="59">
        <v>2020</v>
      </c>
      <c r="C21" s="59">
        <v>1649</v>
      </c>
      <c r="D21" s="59">
        <v>2798</v>
      </c>
      <c r="E21" s="59">
        <v>2125</v>
      </c>
      <c r="F21" s="59">
        <v>2432</v>
      </c>
    </row>
    <row r="22" spans="1:6" x14ac:dyDescent="0.2">
      <c r="A22" s="3"/>
      <c r="B22" s="58"/>
      <c r="C22" s="58"/>
      <c r="D22" s="58"/>
      <c r="E22" s="58"/>
      <c r="F22" s="58"/>
    </row>
    <row r="23" spans="1:6" x14ac:dyDescent="0.2">
      <c r="A23" s="2" t="s">
        <v>153</v>
      </c>
      <c r="B23" s="58"/>
      <c r="C23" s="58"/>
      <c r="D23" s="58"/>
      <c r="E23" s="58"/>
      <c r="F23" s="58"/>
    </row>
    <row r="24" spans="1:6" x14ac:dyDescent="0.2">
      <c r="A24" s="3" t="s">
        <v>153</v>
      </c>
      <c r="B24" s="58">
        <v>628</v>
      </c>
      <c r="C24" s="58">
        <v>575</v>
      </c>
      <c r="D24" s="58">
        <v>667</v>
      </c>
      <c r="E24" s="58">
        <v>613</v>
      </c>
      <c r="F24" s="58">
        <v>594</v>
      </c>
    </row>
    <row r="25" spans="1:6" x14ac:dyDescent="0.2">
      <c r="A25" s="3" t="s">
        <v>154</v>
      </c>
      <c r="B25" s="58">
        <v>0</v>
      </c>
      <c r="C25" s="58">
        <v>0</v>
      </c>
      <c r="D25" s="58">
        <v>5</v>
      </c>
      <c r="E25" s="58">
        <v>0</v>
      </c>
      <c r="F25" s="58">
        <v>0</v>
      </c>
    </row>
    <row r="26" spans="1:6" x14ac:dyDescent="0.2">
      <c r="A26" s="3" t="s">
        <v>155</v>
      </c>
      <c r="B26" s="58">
        <v>7</v>
      </c>
      <c r="C26" s="58">
        <v>3</v>
      </c>
      <c r="D26" s="58">
        <v>7</v>
      </c>
      <c r="E26" s="58">
        <v>17</v>
      </c>
      <c r="F26" s="58">
        <v>11</v>
      </c>
    </row>
    <row r="27" spans="1:6" x14ac:dyDescent="0.2">
      <c r="A27" s="3"/>
      <c r="B27" s="58"/>
      <c r="C27" s="58"/>
      <c r="D27" s="58"/>
      <c r="E27" s="58"/>
      <c r="F27" s="58"/>
    </row>
    <row r="28" spans="1:6" x14ac:dyDescent="0.2">
      <c r="A28" s="2" t="s">
        <v>215</v>
      </c>
      <c r="B28" s="59">
        <v>635</v>
      </c>
      <c r="C28" s="59">
        <v>578</v>
      </c>
      <c r="D28" s="59">
        <v>679</v>
      </c>
      <c r="E28" s="59">
        <v>630</v>
      </c>
      <c r="F28" s="59">
        <v>605</v>
      </c>
    </row>
    <row r="29" spans="1:6" x14ac:dyDescent="0.2">
      <c r="A29" s="3"/>
      <c r="B29" s="58"/>
      <c r="C29" s="58"/>
      <c r="D29" s="58"/>
      <c r="E29" s="58"/>
      <c r="F29" s="58"/>
    </row>
    <row r="30" spans="1:6" x14ac:dyDescent="0.2">
      <c r="A30" s="2" t="s">
        <v>165</v>
      </c>
      <c r="B30" s="58"/>
      <c r="C30" s="58"/>
      <c r="D30" s="58"/>
      <c r="E30" s="58"/>
      <c r="F30" s="58"/>
    </row>
    <row r="31" spans="1:6" x14ac:dyDescent="0.2">
      <c r="A31" s="3" t="s">
        <v>165</v>
      </c>
      <c r="B31" s="58">
        <v>0</v>
      </c>
      <c r="C31" s="58">
        <v>0</v>
      </c>
      <c r="D31" s="58">
        <v>0</v>
      </c>
      <c r="E31" s="58">
        <v>1</v>
      </c>
      <c r="F31" s="58">
        <v>1</v>
      </c>
    </row>
    <row r="32" spans="1:6" x14ac:dyDescent="0.2">
      <c r="A32" s="3" t="s">
        <v>166</v>
      </c>
      <c r="B32" s="58">
        <v>0</v>
      </c>
      <c r="C32" s="58">
        <v>2</v>
      </c>
      <c r="D32" s="58">
        <v>2</v>
      </c>
      <c r="E32" s="58">
        <v>0</v>
      </c>
      <c r="F32" s="58">
        <v>0</v>
      </c>
    </row>
    <row r="33" spans="1:6" x14ac:dyDescent="0.2">
      <c r="A33" s="3" t="s">
        <v>167</v>
      </c>
      <c r="B33" s="58">
        <v>493</v>
      </c>
      <c r="C33" s="58">
        <v>369</v>
      </c>
      <c r="D33" s="58">
        <v>525</v>
      </c>
      <c r="E33" s="58">
        <v>623</v>
      </c>
      <c r="F33" s="58">
        <v>498</v>
      </c>
    </row>
    <row r="34" spans="1:6" x14ac:dyDescent="0.2">
      <c r="A34" s="3"/>
      <c r="B34" s="58"/>
      <c r="C34" s="58"/>
      <c r="D34" s="58"/>
      <c r="E34" s="58"/>
      <c r="F34" s="58"/>
    </row>
    <row r="35" spans="1:6" x14ac:dyDescent="0.2">
      <c r="A35" s="2" t="s">
        <v>216</v>
      </c>
      <c r="B35" s="59">
        <v>493</v>
      </c>
      <c r="C35" s="59">
        <v>371</v>
      </c>
      <c r="D35" s="59">
        <v>527</v>
      </c>
      <c r="E35" s="59">
        <v>624</v>
      </c>
      <c r="F35" s="59">
        <v>499</v>
      </c>
    </row>
    <row r="36" spans="1:6" x14ac:dyDescent="0.2">
      <c r="A36" s="3"/>
      <c r="B36" s="58"/>
      <c r="C36" s="58"/>
      <c r="D36" s="58"/>
      <c r="E36" s="58"/>
      <c r="F36" s="58"/>
    </row>
    <row r="37" spans="1:6" x14ac:dyDescent="0.2">
      <c r="A37" s="2" t="s">
        <v>168</v>
      </c>
      <c r="B37" s="58"/>
      <c r="C37" s="58"/>
      <c r="D37" s="58"/>
      <c r="E37" s="58"/>
      <c r="F37" s="58"/>
    </row>
    <row r="38" spans="1:6" x14ac:dyDescent="0.2">
      <c r="A38" s="3" t="s">
        <v>168</v>
      </c>
      <c r="B38" s="58">
        <v>731</v>
      </c>
      <c r="C38" s="58">
        <v>331</v>
      </c>
      <c r="D38" s="58">
        <v>462</v>
      </c>
      <c r="E38" s="58">
        <v>729</v>
      </c>
      <c r="F38" s="58">
        <v>583</v>
      </c>
    </row>
    <row r="39" spans="1:6" x14ac:dyDescent="0.2">
      <c r="A39" s="3" t="s">
        <v>169</v>
      </c>
      <c r="B39" s="58">
        <v>4</v>
      </c>
      <c r="C39" s="58">
        <v>0</v>
      </c>
      <c r="D39" s="58">
        <v>19</v>
      </c>
      <c r="E39" s="58">
        <v>0</v>
      </c>
      <c r="F39" s="58">
        <v>0</v>
      </c>
    </row>
    <row r="40" spans="1:6" x14ac:dyDescent="0.2">
      <c r="A40" s="3" t="s">
        <v>170</v>
      </c>
      <c r="B40" s="58">
        <v>31</v>
      </c>
      <c r="C40" s="58">
        <v>20</v>
      </c>
      <c r="D40" s="58">
        <v>26</v>
      </c>
      <c r="E40" s="58">
        <v>57</v>
      </c>
      <c r="F40" s="58">
        <v>72</v>
      </c>
    </row>
    <row r="41" spans="1:6" x14ac:dyDescent="0.2">
      <c r="A41" s="3"/>
      <c r="B41" s="58"/>
      <c r="C41" s="58"/>
      <c r="D41" s="58"/>
      <c r="E41" s="58"/>
      <c r="F41" s="58"/>
    </row>
    <row r="42" spans="1:6" x14ac:dyDescent="0.2">
      <c r="A42" s="2" t="s">
        <v>250</v>
      </c>
      <c r="B42" s="59">
        <v>766</v>
      </c>
      <c r="C42" s="59">
        <v>351</v>
      </c>
      <c r="D42" s="59">
        <v>507</v>
      </c>
      <c r="E42" s="59">
        <v>786</v>
      </c>
      <c r="F42" s="59">
        <v>655</v>
      </c>
    </row>
    <row r="43" spans="1:6" x14ac:dyDescent="0.2">
      <c r="A43" s="3"/>
      <c r="B43" s="58"/>
      <c r="C43" s="58"/>
      <c r="D43" s="58"/>
      <c r="E43" s="58"/>
      <c r="F43" s="58"/>
    </row>
    <row r="44" spans="1:6" x14ac:dyDescent="0.2">
      <c r="A44" s="2" t="s">
        <v>176</v>
      </c>
      <c r="B44" s="59">
        <v>11</v>
      </c>
      <c r="C44" s="59">
        <v>4</v>
      </c>
      <c r="D44" s="59">
        <v>7</v>
      </c>
      <c r="E44" s="59">
        <v>5</v>
      </c>
      <c r="F44" s="59">
        <v>5</v>
      </c>
    </row>
    <row r="45" spans="1:6" ht="15" x14ac:dyDescent="0.25">
      <c r="A45" s="3"/>
      <c r="B45" s="258"/>
      <c r="C45" s="258"/>
      <c r="D45" s="258"/>
      <c r="E45" s="258"/>
      <c r="F45" s="258"/>
    </row>
    <row r="46" spans="1:6" ht="15.75" thickBot="1" x14ac:dyDescent="0.3">
      <c r="A46" s="111" t="s">
        <v>221</v>
      </c>
      <c r="B46" s="112">
        <v>24974</v>
      </c>
      <c r="C46" s="112">
        <v>17148</v>
      </c>
      <c r="D46" s="112">
        <v>28982</v>
      </c>
      <c r="E46" s="112">
        <v>24034</v>
      </c>
      <c r="F46" s="112">
        <v>24266</v>
      </c>
    </row>
    <row r="47" spans="1:6" ht="15" x14ac:dyDescent="0.2">
      <c r="A47" s="44"/>
      <c r="B47" s="42"/>
      <c r="C47" s="42"/>
      <c r="D47" s="42"/>
      <c r="E47" s="42"/>
      <c r="F47" s="42" t="s">
        <v>248</v>
      </c>
    </row>
    <row r="48" spans="1:6" x14ac:dyDescent="0.2">
      <c r="A48" s="5" t="s">
        <v>180</v>
      </c>
    </row>
  </sheetData>
  <phoneticPr fontId="0" type="noConversion"/>
  <pageMargins left="0.43307086614173229" right="0.43307086614173229" top="0.98425196850393704" bottom="0.98425196850393704" header="0.51181102362204722" footer="0.51181102362204722"/>
  <pageSetup paperSize="9" scale="9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8"/>
  <sheetViews>
    <sheetView showGridLines="0" workbookViewId="0">
      <selection activeCell="F19" sqref="F19"/>
    </sheetView>
  </sheetViews>
  <sheetFormatPr defaultRowHeight="12.75" x14ac:dyDescent="0.2"/>
  <cols>
    <col min="1" max="1" width="35.85546875" style="5" customWidth="1"/>
    <col min="2" max="3" width="14.7109375" style="5" customWidth="1"/>
    <col min="4" max="4" width="15.5703125" style="5" customWidth="1"/>
    <col min="5" max="5" width="16.42578125" style="5" customWidth="1"/>
    <col min="6" max="16384" width="9.140625" style="5"/>
  </cols>
  <sheetData>
    <row r="1" spans="1:7" s="127" customFormat="1" ht="15" customHeight="1" x14ac:dyDescent="0.25">
      <c r="A1" s="130" t="s">
        <v>389</v>
      </c>
      <c r="B1" s="132"/>
      <c r="C1" s="132"/>
      <c r="D1" s="131"/>
    </row>
    <row r="2" spans="1:7" ht="17.25" customHeight="1" thickBot="1" x14ac:dyDescent="0.25">
      <c r="A2" s="8"/>
      <c r="B2" s="9"/>
      <c r="C2" s="9"/>
      <c r="D2" s="10"/>
      <c r="E2" s="11"/>
    </row>
    <row r="3" spans="1:7" ht="17.25" customHeight="1" x14ac:dyDescent="0.2">
      <c r="A3" s="184"/>
      <c r="B3" s="398">
        <v>2011</v>
      </c>
      <c r="C3" s="398"/>
      <c r="D3" s="398"/>
      <c r="E3" s="185" t="s">
        <v>237</v>
      </c>
      <c r="G3" s="16"/>
    </row>
    <row r="4" spans="1:7" ht="13.5" customHeight="1" x14ac:dyDescent="0.2">
      <c r="A4" s="186"/>
      <c r="B4" s="187" t="s">
        <v>390</v>
      </c>
      <c r="C4" s="187" t="s">
        <v>391</v>
      </c>
      <c r="D4" s="187" t="s">
        <v>392</v>
      </c>
      <c r="E4" s="187" t="s">
        <v>388</v>
      </c>
    </row>
    <row r="5" spans="1:7" ht="17.25" customHeight="1" x14ac:dyDescent="0.2">
      <c r="A5" s="2" t="s">
        <v>96</v>
      </c>
      <c r="B5" s="3"/>
      <c r="C5" s="3"/>
      <c r="D5" s="3"/>
      <c r="E5" s="3"/>
    </row>
    <row r="6" spans="1:7" x14ac:dyDescent="0.2">
      <c r="A6" s="3" t="s">
        <v>178</v>
      </c>
      <c r="B6" s="60">
        <v>2271</v>
      </c>
      <c r="C6" s="60">
        <v>2446</v>
      </c>
      <c r="D6" s="60">
        <v>4302</v>
      </c>
      <c r="E6" s="60">
        <v>9019</v>
      </c>
    </row>
    <row r="7" spans="1:7" x14ac:dyDescent="0.2">
      <c r="A7" s="3" t="s">
        <v>97</v>
      </c>
      <c r="B7" s="60">
        <v>1</v>
      </c>
      <c r="C7" s="60">
        <v>0</v>
      </c>
      <c r="D7" s="60">
        <v>0</v>
      </c>
      <c r="E7" s="60">
        <v>1</v>
      </c>
    </row>
    <row r="8" spans="1:7" x14ac:dyDescent="0.2">
      <c r="A8" s="3" t="s">
        <v>98</v>
      </c>
      <c r="B8" s="60">
        <v>1059</v>
      </c>
      <c r="C8" s="60">
        <v>955</v>
      </c>
      <c r="D8" s="60">
        <v>1028</v>
      </c>
      <c r="E8" s="60">
        <v>3042</v>
      </c>
    </row>
    <row r="9" spans="1:7" x14ac:dyDescent="0.2">
      <c r="A9" s="3" t="s">
        <v>179</v>
      </c>
      <c r="B9" s="60">
        <v>2219</v>
      </c>
      <c r="C9" s="60">
        <v>2746</v>
      </c>
      <c r="D9" s="60">
        <v>2705</v>
      </c>
      <c r="E9" s="60">
        <v>7670</v>
      </c>
    </row>
    <row r="10" spans="1:7" x14ac:dyDescent="0.2">
      <c r="A10" s="3" t="s">
        <v>99</v>
      </c>
      <c r="B10" s="60">
        <v>0</v>
      </c>
      <c r="C10" s="60">
        <v>0</v>
      </c>
      <c r="D10" s="60">
        <v>0</v>
      </c>
      <c r="E10" s="60">
        <v>0</v>
      </c>
    </row>
    <row r="11" spans="1:7" x14ac:dyDescent="0.2">
      <c r="A11" s="3" t="s">
        <v>204</v>
      </c>
      <c r="B11" s="58">
        <v>108</v>
      </c>
      <c r="C11" s="58">
        <v>110</v>
      </c>
      <c r="D11" s="58">
        <v>63</v>
      </c>
      <c r="E11" s="58">
        <v>281</v>
      </c>
    </row>
    <row r="12" spans="1:7" x14ac:dyDescent="0.2">
      <c r="A12" s="3"/>
      <c r="B12" s="58"/>
      <c r="C12" s="58"/>
      <c r="D12" s="58"/>
      <c r="E12" s="58"/>
    </row>
    <row r="13" spans="1:7" x14ac:dyDescent="0.2">
      <c r="A13" s="2" t="s">
        <v>212</v>
      </c>
      <c r="B13" s="59">
        <v>5658</v>
      </c>
      <c r="C13" s="59">
        <v>6257</v>
      </c>
      <c r="D13" s="59">
        <v>8098</v>
      </c>
      <c r="E13" s="59">
        <v>20013</v>
      </c>
    </row>
    <row r="14" spans="1:7" x14ac:dyDescent="0.2">
      <c r="A14" s="3"/>
      <c r="B14" s="58"/>
      <c r="C14" s="58"/>
      <c r="D14" s="58"/>
      <c r="E14" s="59"/>
    </row>
    <row r="15" spans="1:7" x14ac:dyDescent="0.2">
      <c r="A15" s="2" t="s">
        <v>213</v>
      </c>
      <c r="B15" s="59">
        <v>12</v>
      </c>
      <c r="C15" s="59">
        <v>24</v>
      </c>
      <c r="D15" s="59">
        <v>21</v>
      </c>
      <c r="E15" s="59">
        <v>57</v>
      </c>
    </row>
    <row r="16" spans="1:7" x14ac:dyDescent="0.2">
      <c r="A16" s="3"/>
      <c r="B16" s="58"/>
      <c r="C16" s="58"/>
      <c r="D16" s="58"/>
      <c r="E16" s="58"/>
    </row>
    <row r="17" spans="1:7" x14ac:dyDescent="0.2">
      <c r="A17" s="2" t="s">
        <v>150</v>
      </c>
      <c r="B17" s="58"/>
      <c r="C17" s="58"/>
      <c r="D17" s="58"/>
      <c r="E17" s="58"/>
    </row>
    <row r="18" spans="1:7" x14ac:dyDescent="0.2">
      <c r="A18" s="3" t="s">
        <v>150</v>
      </c>
      <c r="B18" s="58">
        <v>658</v>
      </c>
      <c r="C18" s="205">
        <v>646</v>
      </c>
      <c r="D18" s="58">
        <v>1080</v>
      </c>
      <c r="E18" s="58">
        <v>2384</v>
      </c>
    </row>
    <row r="19" spans="1:7" x14ac:dyDescent="0.2">
      <c r="A19" s="3" t="s">
        <v>151</v>
      </c>
      <c r="B19" s="58">
        <v>1</v>
      </c>
      <c r="C19" s="58">
        <v>0</v>
      </c>
      <c r="D19" s="58">
        <v>0</v>
      </c>
      <c r="E19" s="58">
        <v>1</v>
      </c>
    </row>
    <row r="20" spans="1:7" x14ac:dyDescent="0.2">
      <c r="A20" s="3" t="s">
        <v>152</v>
      </c>
      <c r="B20" s="58">
        <v>15</v>
      </c>
      <c r="C20" s="58">
        <v>22</v>
      </c>
      <c r="D20" s="58">
        <v>10</v>
      </c>
      <c r="E20" s="58">
        <v>47</v>
      </c>
    </row>
    <row r="21" spans="1:7" x14ac:dyDescent="0.2">
      <c r="A21" s="3"/>
      <c r="B21" s="58"/>
      <c r="C21" s="58"/>
      <c r="D21" s="58"/>
      <c r="E21" s="58"/>
    </row>
    <row r="22" spans="1:7" x14ac:dyDescent="0.2">
      <c r="A22" s="2" t="s">
        <v>214</v>
      </c>
      <c r="B22" s="59">
        <v>674</v>
      </c>
      <c r="C22" s="206">
        <v>668</v>
      </c>
      <c r="D22" s="59">
        <v>1090</v>
      </c>
      <c r="E22" s="59">
        <v>2432</v>
      </c>
    </row>
    <row r="23" spans="1:7" x14ac:dyDescent="0.2">
      <c r="A23" s="2"/>
      <c r="B23" s="58"/>
      <c r="C23" s="58"/>
      <c r="D23" s="58"/>
      <c r="E23" s="58"/>
    </row>
    <row r="24" spans="1:7" ht="13.5" x14ac:dyDescent="0.25">
      <c r="A24" s="2" t="s">
        <v>153</v>
      </c>
      <c r="B24" s="58"/>
      <c r="C24" s="58"/>
      <c r="D24" s="58"/>
      <c r="E24" s="58"/>
      <c r="G24" s="19"/>
    </row>
    <row r="25" spans="1:7" x14ac:dyDescent="0.2">
      <c r="A25" s="3" t="s">
        <v>153</v>
      </c>
      <c r="B25" s="58">
        <v>188</v>
      </c>
      <c r="C25" s="58">
        <v>214</v>
      </c>
      <c r="D25" s="58">
        <v>192</v>
      </c>
      <c r="E25" s="58">
        <v>594</v>
      </c>
    </row>
    <row r="26" spans="1:7" x14ac:dyDescent="0.2">
      <c r="A26" s="3" t="s">
        <v>154</v>
      </c>
      <c r="B26" s="58">
        <v>0</v>
      </c>
      <c r="C26" s="58">
        <v>0</v>
      </c>
      <c r="D26" s="58">
        <v>0</v>
      </c>
      <c r="E26" s="58">
        <v>0</v>
      </c>
    </row>
    <row r="27" spans="1:7" x14ac:dyDescent="0.2">
      <c r="A27" s="3" t="s">
        <v>155</v>
      </c>
      <c r="B27" s="58">
        <v>10</v>
      </c>
      <c r="C27" s="58">
        <v>1</v>
      </c>
      <c r="D27" s="58">
        <v>0</v>
      </c>
      <c r="E27" s="58">
        <v>11</v>
      </c>
    </row>
    <row r="28" spans="1:7" x14ac:dyDescent="0.2">
      <c r="A28" s="3"/>
      <c r="B28" s="58"/>
      <c r="C28" s="58"/>
      <c r="D28" s="58"/>
      <c r="E28" s="58"/>
    </row>
    <row r="29" spans="1:7" x14ac:dyDescent="0.2">
      <c r="A29" s="2" t="s">
        <v>215</v>
      </c>
      <c r="B29" s="59">
        <v>198</v>
      </c>
      <c r="C29" s="59">
        <v>215</v>
      </c>
      <c r="D29" s="59">
        <v>192</v>
      </c>
      <c r="E29" s="59">
        <v>605</v>
      </c>
    </row>
    <row r="30" spans="1:7" x14ac:dyDescent="0.2">
      <c r="A30" s="3"/>
      <c r="B30" s="58"/>
      <c r="C30" s="58"/>
      <c r="D30" s="58"/>
      <c r="E30" s="59"/>
    </row>
    <row r="31" spans="1:7" x14ac:dyDescent="0.2">
      <c r="A31" s="2" t="s">
        <v>165</v>
      </c>
      <c r="B31" s="58"/>
      <c r="C31" s="58"/>
      <c r="D31" s="58"/>
      <c r="E31" s="59"/>
    </row>
    <row r="32" spans="1:7" x14ac:dyDescent="0.2">
      <c r="A32" s="3" t="s">
        <v>165</v>
      </c>
      <c r="B32" s="58">
        <v>1</v>
      </c>
      <c r="C32" s="58">
        <v>0</v>
      </c>
      <c r="D32" s="58">
        <v>0</v>
      </c>
      <c r="E32" s="58">
        <v>1</v>
      </c>
    </row>
    <row r="33" spans="1:8" x14ac:dyDescent="0.2">
      <c r="A33" s="3" t="s">
        <v>166</v>
      </c>
      <c r="B33" s="58">
        <v>0</v>
      </c>
      <c r="C33" s="58">
        <v>0</v>
      </c>
      <c r="D33" s="58">
        <v>0</v>
      </c>
      <c r="E33" s="58">
        <v>0</v>
      </c>
    </row>
    <row r="34" spans="1:8" x14ac:dyDescent="0.2">
      <c r="A34" s="3" t="s">
        <v>167</v>
      </c>
      <c r="B34" s="58">
        <v>181</v>
      </c>
      <c r="C34" s="58">
        <v>165</v>
      </c>
      <c r="D34" s="58">
        <v>152</v>
      </c>
      <c r="E34" s="58">
        <v>498</v>
      </c>
    </row>
    <row r="35" spans="1:8" x14ac:dyDescent="0.2">
      <c r="A35" s="3"/>
      <c r="B35" s="58"/>
      <c r="C35" s="58"/>
      <c r="D35" s="58"/>
      <c r="E35" s="59"/>
    </row>
    <row r="36" spans="1:8" x14ac:dyDescent="0.2">
      <c r="A36" s="2" t="s">
        <v>216</v>
      </c>
      <c r="B36" s="59">
        <v>182</v>
      </c>
      <c r="C36" s="59">
        <v>165</v>
      </c>
      <c r="D36" s="59">
        <v>152</v>
      </c>
      <c r="E36" s="59">
        <v>499</v>
      </c>
    </row>
    <row r="37" spans="1:8" x14ac:dyDescent="0.2">
      <c r="A37" s="3"/>
      <c r="B37" s="59"/>
      <c r="C37" s="59"/>
      <c r="D37" s="59"/>
      <c r="E37" s="59"/>
    </row>
    <row r="38" spans="1:8" x14ac:dyDescent="0.2">
      <c r="A38" s="2" t="s">
        <v>168</v>
      </c>
      <c r="B38" s="58"/>
      <c r="C38" s="59"/>
      <c r="D38" s="59"/>
      <c r="E38" s="59"/>
    </row>
    <row r="39" spans="1:8" x14ac:dyDescent="0.2">
      <c r="A39" s="3" t="s">
        <v>168</v>
      </c>
      <c r="B39" s="58">
        <v>183</v>
      </c>
      <c r="C39" s="58">
        <v>214</v>
      </c>
      <c r="D39" s="58">
        <v>186</v>
      </c>
      <c r="E39" s="58">
        <v>583</v>
      </c>
    </row>
    <row r="40" spans="1:8" x14ac:dyDescent="0.2">
      <c r="A40" s="3" t="s">
        <v>169</v>
      </c>
      <c r="B40" s="58">
        <v>0</v>
      </c>
      <c r="C40" s="58">
        <v>0</v>
      </c>
      <c r="D40" s="58">
        <v>0</v>
      </c>
      <c r="E40" s="58">
        <v>0</v>
      </c>
    </row>
    <row r="41" spans="1:8" x14ac:dyDescent="0.2">
      <c r="A41" s="3" t="s">
        <v>170</v>
      </c>
      <c r="B41" s="58">
        <v>25</v>
      </c>
      <c r="C41" s="58">
        <v>27</v>
      </c>
      <c r="D41" s="58">
        <v>20</v>
      </c>
      <c r="E41" s="58">
        <v>72</v>
      </c>
    </row>
    <row r="42" spans="1:8" x14ac:dyDescent="0.2">
      <c r="A42" s="3"/>
      <c r="B42" s="58"/>
      <c r="C42" s="58"/>
      <c r="D42" s="59"/>
      <c r="E42" s="59"/>
    </row>
    <row r="43" spans="1:8" x14ac:dyDescent="0.2">
      <c r="A43" s="40" t="s">
        <v>217</v>
      </c>
      <c r="B43" s="59">
        <v>208</v>
      </c>
      <c r="C43" s="59">
        <v>241</v>
      </c>
      <c r="D43" s="59">
        <v>206</v>
      </c>
      <c r="E43" s="59">
        <v>655</v>
      </c>
    </row>
    <row r="44" spans="1:8" x14ac:dyDescent="0.2">
      <c r="A44" s="62"/>
      <c r="B44" s="58"/>
      <c r="C44" s="58"/>
      <c r="D44" s="58"/>
      <c r="E44" s="58"/>
    </row>
    <row r="45" spans="1:8" x14ac:dyDescent="0.2">
      <c r="A45" s="2" t="s">
        <v>176</v>
      </c>
      <c r="B45" s="59">
        <v>2</v>
      </c>
      <c r="C45" s="59">
        <v>0</v>
      </c>
      <c r="D45" s="59">
        <v>3</v>
      </c>
      <c r="E45" s="59">
        <v>5</v>
      </c>
    </row>
    <row r="46" spans="1:8" x14ac:dyDescent="0.2">
      <c r="A46" s="3"/>
      <c r="B46" s="58"/>
      <c r="C46" s="58"/>
      <c r="D46" s="58"/>
      <c r="E46" s="58"/>
    </row>
    <row r="47" spans="1:8" ht="15.75" thickBot="1" x14ac:dyDescent="0.3">
      <c r="A47" s="111" t="s">
        <v>221</v>
      </c>
      <c r="B47" s="112">
        <v>6934</v>
      </c>
      <c r="C47" s="207">
        <v>7570</v>
      </c>
      <c r="D47" s="112">
        <v>9762</v>
      </c>
      <c r="E47" s="112">
        <v>24266</v>
      </c>
    </row>
    <row r="48" spans="1:8" x14ac:dyDescent="0.2">
      <c r="E48" s="42" t="s">
        <v>207</v>
      </c>
      <c r="H48" s="5" t="s">
        <v>177</v>
      </c>
    </row>
  </sheetData>
  <mergeCells count="1">
    <mergeCell ref="B3:D3"/>
  </mergeCells>
  <phoneticPr fontId="0" type="noConversion"/>
  <pageMargins left="0.75" right="0.75" top="1" bottom="1" header="0.5" footer="0.5"/>
  <pageSetup paperSize="9" scale="9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F10" sqref="F10"/>
    </sheetView>
  </sheetViews>
  <sheetFormatPr defaultRowHeight="12.75" x14ac:dyDescent="0.2"/>
  <cols>
    <col min="1" max="1" width="18.42578125" style="20" customWidth="1"/>
    <col min="2" max="2" width="13.85546875" style="20" customWidth="1"/>
    <col min="3" max="3" width="13.28515625" style="20" customWidth="1"/>
    <col min="4" max="4" width="23.28515625" style="20" customWidth="1"/>
    <col min="5" max="16384" width="9.140625" style="20"/>
  </cols>
  <sheetData>
    <row r="1" spans="1:11" ht="15" x14ac:dyDescent="0.2">
      <c r="A1" s="268"/>
      <c r="B1" s="399"/>
      <c r="C1" s="399"/>
      <c r="D1" s="399"/>
      <c r="E1" s="399"/>
      <c r="F1" s="399"/>
      <c r="G1" s="399"/>
      <c r="H1" s="399"/>
      <c r="I1" s="399"/>
      <c r="J1" s="399" t="s">
        <v>207</v>
      </c>
      <c r="K1" s="399"/>
    </row>
    <row r="2" spans="1:11" x14ac:dyDescent="0.2">
      <c r="A2" s="164"/>
      <c r="B2" s="164"/>
      <c r="C2" s="164"/>
      <c r="D2" s="164"/>
      <c r="E2" s="164"/>
      <c r="F2" s="164"/>
      <c r="G2" s="164"/>
      <c r="H2" s="164"/>
      <c r="I2" s="164"/>
      <c r="J2" s="164"/>
      <c r="K2" s="164"/>
    </row>
    <row r="3" spans="1:11" ht="15.75" x14ac:dyDescent="0.25">
      <c r="A3" s="356" t="s">
        <v>367</v>
      </c>
      <c r="B3" s="164"/>
      <c r="C3" s="164"/>
      <c r="D3" s="164"/>
      <c r="E3" s="164"/>
      <c r="F3" s="164"/>
      <c r="G3" s="164"/>
      <c r="H3" s="164"/>
      <c r="I3" s="164"/>
      <c r="J3" s="164"/>
      <c r="K3" s="164"/>
    </row>
    <row r="4" spans="1:11" x14ac:dyDescent="0.2">
      <c r="A4" s="164"/>
      <c r="B4" s="164"/>
      <c r="C4" s="164"/>
      <c r="D4" s="164"/>
      <c r="E4" s="164"/>
      <c r="F4" s="164"/>
      <c r="G4" s="164"/>
      <c r="H4" s="164"/>
      <c r="I4" s="164"/>
      <c r="J4" s="164"/>
      <c r="K4" s="164"/>
    </row>
    <row r="5" spans="1:11" ht="15.75" x14ac:dyDescent="0.25">
      <c r="A5" s="164"/>
      <c r="B5" s="357" t="s">
        <v>269</v>
      </c>
      <c r="C5" s="357" t="s">
        <v>270</v>
      </c>
      <c r="D5" s="358" t="s">
        <v>271</v>
      </c>
      <c r="E5" s="164"/>
      <c r="F5" s="164"/>
      <c r="G5" s="85"/>
      <c r="H5" s="164"/>
      <c r="I5" s="164"/>
      <c r="J5" s="164"/>
      <c r="K5" s="164"/>
    </row>
    <row r="6" spans="1:11" ht="15.75" x14ac:dyDescent="0.25">
      <c r="A6" s="356" t="s">
        <v>368</v>
      </c>
      <c r="B6" s="268">
        <v>18803</v>
      </c>
      <c r="C6" s="268">
        <v>9927</v>
      </c>
      <c r="D6" s="268">
        <v>28730</v>
      </c>
      <c r="E6" s="356"/>
      <c r="F6" s="164"/>
      <c r="G6" s="164"/>
      <c r="H6" s="164"/>
      <c r="I6" s="164"/>
      <c r="J6" s="164"/>
      <c r="K6" s="164"/>
    </row>
    <row r="7" spans="1:11" ht="15.75" x14ac:dyDescent="0.25">
      <c r="A7" s="356" t="s">
        <v>369</v>
      </c>
      <c r="B7" s="268">
        <v>12974</v>
      </c>
      <c r="C7" s="268">
        <v>7766</v>
      </c>
      <c r="D7" s="268">
        <v>20740</v>
      </c>
      <c r="E7" s="268"/>
      <c r="F7" s="164"/>
      <c r="G7" s="164"/>
      <c r="H7" s="164"/>
      <c r="I7" s="164"/>
      <c r="J7" s="164"/>
      <c r="K7" s="164"/>
    </row>
    <row r="8" spans="1:11" ht="15.75" x14ac:dyDescent="0.25">
      <c r="A8" s="356" t="s">
        <v>370</v>
      </c>
      <c r="B8" s="268">
        <v>15063</v>
      </c>
      <c r="C8" s="268">
        <v>8485</v>
      </c>
      <c r="D8" s="268">
        <v>23548</v>
      </c>
      <c r="E8" s="268"/>
      <c r="F8" s="164"/>
      <c r="G8" s="164"/>
      <c r="H8" s="164"/>
      <c r="I8" s="164"/>
      <c r="J8" s="164"/>
      <c r="K8" s="164"/>
    </row>
    <row r="9" spans="1:11" ht="15.75" x14ac:dyDescent="0.25">
      <c r="A9" s="356" t="s">
        <v>410</v>
      </c>
      <c r="B9" s="268">
        <v>12937</v>
      </c>
      <c r="C9" s="268">
        <v>8012</v>
      </c>
      <c r="D9" s="268">
        <v>20949</v>
      </c>
      <c r="E9" s="268"/>
      <c r="F9" s="164"/>
      <c r="G9" s="164"/>
      <c r="H9" s="164"/>
      <c r="I9" s="164"/>
      <c r="J9" s="164"/>
      <c r="K9" s="164"/>
    </row>
    <row r="10" spans="1:11" ht="15.75" x14ac:dyDescent="0.25">
      <c r="A10" s="356" t="s">
        <v>411</v>
      </c>
      <c r="B10" s="268">
        <v>12062</v>
      </c>
      <c r="C10" s="268">
        <v>7951</v>
      </c>
      <c r="D10" s="268">
        <v>20013</v>
      </c>
      <c r="E10" s="268"/>
      <c r="F10" s="164"/>
      <c r="G10" s="164"/>
      <c r="H10" s="164"/>
      <c r="I10" s="164"/>
      <c r="J10" s="164"/>
      <c r="K10" s="164"/>
    </row>
    <row r="11" spans="1:11" x14ac:dyDescent="0.2">
      <c r="A11" s="164"/>
      <c r="B11" s="164"/>
      <c r="C11" s="164"/>
      <c r="D11" s="164"/>
      <c r="E11" s="164"/>
      <c r="F11" s="164"/>
      <c r="G11" s="164"/>
      <c r="H11" s="164"/>
      <c r="I11" s="164"/>
      <c r="J11" s="164"/>
      <c r="K11" s="164"/>
    </row>
    <row r="12" spans="1:11" x14ac:dyDescent="0.2">
      <c r="A12" s="164"/>
      <c r="B12" s="164"/>
      <c r="C12" s="164"/>
      <c r="D12" s="164"/>
      <c r="E12" s="164"/>
      <c r="F12" s="164"/>
      <c r="G12" s="164"/>
      <c r="H12" s="164"/>
      <c r="I12" s="164"/>
      <c r="J12" s="164"/>
      <c r="K12" s="164"/>
    </row>
    <row r="13" spans="1:11" ht="15.75" x14ac:dyDescent="0.25">
      <c r="A13" s="268"/>
      <c r="B13" s="356"/>
      <c r="C13" s="356"/>
      <c r="D13" s="356"/>
      <c r="E13" s="356"/>
      <c r="F13" s="164"/>
      <c r="G13" s="164"/>
      <c r="H13" s="164"/>
      <c r="I13" s="164"/>
      <c r="J13" s="164"/>
      <c r="K13" s="164"/>
    </row>
  </sheetData>
  <mergeCells count="5">
    <mergeCell ref="J1:K1"/>
    <mergeCell ref="B1:C1"/>
    <mergeCell ref="D1:E1"/>
    <mergeCell ref="F1:G1"/>
    <mergeCell ref="H1:I1"/>
  </mergeCells>
  <phoneticPr fontId="44"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2"/>
  <sheetViews>
    <sheetView showGridLines="0" workbookViewId="0">
      <selection activeCell="N10" sqref="N10"/>
    </sheetView>
  </sheetViews>
  <sheetFormatPr defaultColWidth="7" defaultRowHeight="12.75" x14ac:dyDescent="0.2"/>
  <cols>
    <col min="1" max="1" width="20" style="6" customWidth="1"/>
    <col min="2" max="16384" width="7" style="164"/>
  </cols>
  <sheetData>
    <row r="1" spans="1:11" s="217" customFormat="1" ht="15" customHeight="1" x14ac:dyDescent="0.25">
      <c r="A1" s="130" t="s">
        <v>393</v>
      </c>
    </row>
    <row r="2" spans="1:11" ht="15.75" customHeight="1" thickBot="1" x14ac:dyDescent="0.3">
      <c r="A2" s="43"/>
    </row>
    <row r="3" spans="1:11" ht="16.5" customHeight="1" x14ac:dyDescent="0.2">
      <c r="A3" s="183"/>
      <c r="B3" s="400" t="s">
        <v>268</v>
      </c>
      <c r="C3" s="401"/>
      <c r="D3" s="400" t="s">
        <v>276</v>
      </c>
      <c r="E3" s="401"/>
      <c r="F3" s="400" t="s">
        <v>278</v>
      </c>
      <c r="G3" s="401"/>
      <c r="H3" s="400" t="s">
        <v>320</v>
      </c>
      <c r="I3" s="401"/>
      <c r="J3" s="400" t="s">
        <v>388</v>
      </c>
      <c r="K3" s="401"/>
    </row>
    <row r="4" spans="1:11" ht="16.5" customHeight="1" x14ac:dyDescent="0.2">
      <c r="A4" s="63" t="s">
        <v>95</v>
      </c>
      <c r="B4" s="267" t="s">
        <v>101</v>
      </c>
      <c r="C4" s="267" t="s">
        <v>100</v>
      </c>
      <c r="D4" s="267" t="s">
        <v>101</v>
      </c>
      <c r="E4" s="267" t="s">
        <v>100</v>
      </c>
      <c r="F4" s="267" t="s">
        <v>101</v>
      </c>
      <c r="G4" s="267" t="s">
        <v>100</v>
      </c>
      <c r="H4" s="267" t="s">
        <v>101</v>
      </c>
      <c r="I4" s="267" t="s">
        <v>100</v>
      </c>
      <c r="J4" s="267" t="s">
        <v>101</v>
      </c>
      <c r="K4" s="267" t="s">
        <v>100</v>
      </c>
    </row>
    <row r="5" spans="1:11" ht="15" customHeight="1" x14ac:dyDescent="0.2">
      <c r="A5" s="85" t="s">
        <v>50</v>
      </c>
      <c r="B5" s="205">
        <v>30</v>
      </c>
      <c r="C5" s="205">
        <v>27</v>
      </c>
      <c r="D5" s="205">
        <v>47</v>
      </c>
      <c r="E5" s="205">
        <v>33</v>
      </c>
      <c r="F5" s="205">
        <v>53</v>
      </c>
      <c r="G5" s="205">
        <v>20</v>
      </c>
      <c r="H5" s="205">
        <v>40</v>
      </c>
      <c r="I5" s="205">
        <v>13</v>
      </c>
      <c r="J5" s="205">
        <v>48</v>
      </c>
      <c r="K5" s="205">
        <v>19</v>
      </c>
    </row>
    <row r="6" spans="1:11" ht="15" customHeight="1" x14ac:dyDescent="0.2">
      <c r="A6" s="359" t="s">
        <v>51</v>
      </c>
      <c r="B6" s="360">
        <v>466</v>
      </c>
      <c r="C6" s="360">
        <v>511</v>
      </c>
      <c r="D6" s="360">
        <v>285</v>
      </c>
      <c r="E6" s="360">
        <v>404</v>
      </c>
      <c r="F6" s="360">
        <v>713</v>
      </c>
      <c r="G6" s="360">
        <v>507</v>
      </c>
      <c r="H6" s="360">
        <v>583</v>
      </c>
      <c r="I6" s="361">
        <v>571</v>
      </c>
      <c r="J6" s="360">
        <v>453</v>
      </c>
      <c r="K6" s="361">
        <v>604</v>
      </c>
    </row>
    <row r="7" spans="1:11" ht="15" customHeight="1" x14ac:dyDescent="0.2">
      <c r="A7" s="45" t="s">
        <v>102</v>
      </c>
      <c r="B7" s="205">
        <v>0</v>
      </c>
      <c r="C7" s="205">
        <v>8</v>
      </c>
      <c r="D7" s="205">
        <v>0</v>
      </c>
      <c r="E7" s="205">
        <v>5</v>
      </c>
      <c r="F7" s="205">
        <v>0</v>
      </c>
      <c r="G7" s="205">
        <v>6</v>
      </c>
      <c r="H7" s="205">
        <v>0</v>
      </c>
      <c r="I7" s="205">
        <v>5</v>
      </c>
      <c r="J7" s="205">
        <v>0</v>
      </c>
      <c r="K7" s="205">
        <v>10</v>
      </c>
    </row>
    <row r="8" spans="1:11" ht="15" customHeight="1" x14ac:dyDescent="0.2">
      <c r="A8" s="359" t="s">
        <v>52</v>
      </c>
      <c r="B8" s="360">
        <v>694</v>
      </c>
      <c r="C8" s="360">
        <v>514</v>
      </c>
      <c r="D8" s="360">
        <v>351</v>
      </c>
      <c r="E8" s="360">
        <v>338</v>
      </c>
      <c r="F8" s="360">
        <v>797</v>
      </c>
      <c r="G8" s="360">
        <v>333</v>
      </c>
      <c r="H8" s="360">
        <v>616</v>
      </c>
      <c r="I8" s="361">
        <v>337</v>
      </c>
      <c r="J8" s="360">
        <v>574</v>
      </c>
      <c r="K8" s="361">
        <v>377</v>
      </c>
    </row>
    <row r="9" spans="1:11" ht="15" customHeight="1" x14ac:dyDescent="0.2">
      <c r="A9" s="45" t="s">
        <v>103</v>
      </c>
      <c r="B9" s="205">
        <v>0</v>
      </c>
      <c r="C9" s="205">
        <v>4</v>
      </c>
      <c r="D9" s="205">
        <v>0</v>
      </c>
      <c r="E9" s="205">
        <v>9</v>
      </c>
      <c r="F9" s="205">
        <v>0</v>
      </c>
      <c r="G9" s="205">
        <v>1</v>
      </c>
      <c r="H9" s="205">
        <v>0</v>
      </c>
      <c r="I9" s="205">
        <v>4</v>
      </c>
      <c r="J9" s="205">
        <v>0</v>
      </c>
      <c r="K9" s="205">
        <v>3</v>
      </c>
    </row>
    <row r="10" spans="1:11" ht="15" customHeight="1" x14ac:dyDescent="0.2">
      <c r="A10" s="154" t="s">
        <v>257</v>
      </c>
      <c r="B10" s="156">
        <v>72</v>
      </c>
      <c r="C10" s="156">
        <v>27</v>
      </c>
      <c r="D10" s="156">
        <v>61</v>
      </c>
      <c r="E10" s="156">
        <v>28</v>
      </c>
      <c r="F10" s="156">
        <v>191</v>
      </c>
      <c r="G10" s="156">
        <v>66</v>
      </c>
      <c r="H10" s="156">
        <v>53</v>
      </c>
      <c r="I10" s="156">
        <v>43</v>
      </c>
      <c r="J10" s="156">
        <v>97</v>
      </c>
      <c r="K10" s="156">
        <v>68</v>
      </c>
    </row>
    <row r="11" spans="1:11" ht="15" customHeight="1" x14ac:dyDescent="0.2">
      <c r="A11" s="85" t="s">
        <v>56</v>
      </c>
      <c r="B11" s="205">
        <v>12</v>
      </c>
      <c r="C11" s="205">
        <v>28</v>
      </c>
      <c r="D11" s="205">
        <v>7</v>
      </c>
      <c r="E11" s="205">
        <v>18</v>
      </c>
      <c r="F11" s="205">
        <v>5</v>
      </c>
      <c r="G11" s="205">
        <v>22</v>
      </c>
      <c r="H11" s="205">
        <v>4</v>
      </c>
      <c r="I11" s="205">
        <v>9</v>
      </c>
      <c r="J11" s="205">
        <v>15</v>
      </c>
      <c r="K11" s="205">
        <v>22</v>
      </c>
    </row>
    <row r="12" spans="1:11" ht="15" customHeight="1" x14ac:dyDescent="0.2">
      <c r="A12" s="154" t="s">
        <v>57</v>
      </c>
      <c r="B12" s="156">
        <v>459</v>
      </c>
      <c r="C12" s="156">
        <v>238</v>
      </c>
      <c r="D12" s="156">
        <v>335</v>
      </c>
      <c r="E12" s="156">
        <v>174</v>
      </c>
      <c r="F12" s="156">
        <v>584</v>
      </c>
      <c r="G12" s="156">
        <v>244</v>
      </c>
      <c r="H12" s="156">
        <v>576</v>
      </c>
      <c r="I12" s="156">
        <v>210</v>
      </c>
      <c r="J12" s="156">
        <v>513</v>
      </c>
      <c r="K12" s="156">
        <v>229</v>
      </c>
    </row>
    <row r="13" spans="1:11" ht="15" customHeight="1" x14ac:dyDescent="0.2">
      <c r="A13" s="85" t="s">
        <v>58</v>
      </c>
      <c r="B13" s="205">
        <v>0</v>
      </c>
      <c r="C13" s="205">
        <v>3</v>
      </c>
      <c r="D13" s="205">
        <v>0</v>
      </c>
      <c r="E13" s="205">
        <v>4</v>
      </c>
      <c r="F13" s="205">
        <v>1</v>
      </c>
      <c r="G13" s="205">
        <v>7</v>
      </c>
      <c r="H13" s="205">
        <v>0</v>
      </c>
      <c r="I13" s="205">
        <v>2</v>
      </c>
      <c r="J13" s="205">
        <v>0</v>
      </c>
      <c r="K13" s="205">
        <v>4</v>
      </c>
    </row>
    <row r="14" spans="1:11" ht="15" customHeight="1" x14ac:dyDescent="0.2">
      <c r="A14" s="154" t="s">
        <v>59</v>
      </c>
      <c r="B14" s="156">
        <v>1</v>
      </c>
      <c r="C14" s="156">
        <v>10</v>
      </c>
      <c r="D14" s="156">
        <v>2</v>
      </c>
      <c r="E14" s="156">
        <v>17</v>
      </c>
      <c r="F14" s="156">
        <v>1</v>
      </c>
      <c r="G14" s="156">
        <v>8</v>
      </c>
      <c r="H14" s="156">
        <v>0</v>
      </c>
      <c r="I14" s="156">
        <v>4</v>
      </c>
      <c r="J14" s="156">
        <v>0</v>
      </c>
      <c r="K14" s="156">
        <v>10</v>
      </c>
    </row>
    <row r="15" spans="1:11" ht="15" customHeight="1" x14ac:dyDescent="0.2">
      <c r="A15" s="85" t="s">
        <v>60</v>
      </c>
      <c r="B15" s="205">
        <v>0</v>
      </c>
      <c r="C15" s="205">
        <v>1</v>
      </c>
      <c r="D15" s="205">
        <v>0</v>
      </c>
      <c r="E15" s="205">
        <v>2</v>
      </c>
      <c r="F15" s="205">
        <v>0</v>
      </c>
      <c r="G15" s="205">
        <v>1</v>
      </c>
      <c r="H15" s="205">
        <v>0</v>
      </c>
      <c r="I15" s="205">
        <v>1</v>
      </c>
      <c r="J15" s="205">
        <v>0</v>
      </c>
      <c r="K15" s="205">
        <v>2</v>
      </c>
    </row>
    <row r="16" spans="1:11" ht="15" customHeight="1" x14ac:dyDescent="0.2">
      <c r="A16" s="359" t="s">
        <v>128</v>
      </c>
      <c r="B16" s="360">
        <v>16</v>
      </c>
      <c r="C16" s="360">
        <v>4</v>
      </c>
      <c r="D16" s="360">
        <v>6</v>
      </c>
      <c r="E16" s="360">
        <v>5</v>
      </c>
      <c r="F16" s="360">
        <v>0</v>
      </c>
      <c r="G16" s="360">
        <v>4</v>
      </c>
      <c r="H16" s="360">
        <v>0</v>
      </c>
      <c r="I16" s="361">
        <v>5</v>
      </c>
      <c r="J16" s="360">
        <v>0</v>
      </c>
      <c r="K16" s="361">
        <v>3</v>
      </c>
    </row>
    <row r="17" spans="1:11" ht="15" customHeight="1" x14ac:dyDescent="0.2">
      <c r="A17" s="45" t="s">
        <v>104</v>
      </c>
      <c r="B17" s="205">
        <v>0</v>
      </c>
      <c r="C17" s="205">
        <v>0</v>
      </c>
      <c r="D17" s="205">
        <v>0</v>
      </c>
      <c r="E17" s="205">
        <v>0</v>
      </c>
      <c r="F17" s="205">
        <v>0</v>
      </c>
      <c r="G17" s="205">
        <v>0</v>
      </c>
      <c r="H17" s="205">
        <v>0</v>
      </c>
      <c r="I17" s="205">
        <v>0</v>
      </c>
      <c r="J17" s="205">
        <v>0</v>
      </c>
      <c r="K17" s="205">
        <v>1</v>
      </c>
    </row>
    <row r="18" spans="1:11" ht="15" customHeight="1" x14ac:dyDescent="0.2">
      <c r="A18" s="359" t="s">
        <v>61</v>
      </c>
      <c r="B18" s="360">
        <v>2</v>
      </c>
      <c r="C18" s="360">
        <v>1</v>
      </c>
      <c r="D18" s="360">
        <v>1</v>
      </c>
      <c r="E18" s="360">
        <v>3</v>
      </c>
      <c r="F18" s="360">
        <v>4</v>
      </c>
      <c r="G18" s="360">
        <v>2</v>
      </c>
      <c r="H18" s="360">
        <v>3</v>
      </c>
      <c r="I18" s="361">
        <v>2</v>
      </c>
      <c r="J18" s="360">
        <v>1</v>
      </c>
      <c r="K18" s="361">
        <v>3</v>
      </c>
    </row>
    <row r="19" spans="1:11" ht="15" customHeight="1" x14ac:dyDescent="0.2">
      <c r="A19" s="45" t="s">
        <v>62</v>
      </c>
      <c r="B19" s="205">
        <v>175</v>
      </c>
      <c r="C19" s="205">
        <v>56</v>
      </c>
      <c r="D19" s="205">
        <v>102</v>
      </c>
      <c r="E19" s="205">
        <v>60</v>
      </c>
      <c r="F19" s="205">
        <v>117</v>
      </c>
      <c r="G19" s="205">
        <v>68</v>
      </c>
      <c r="H19" s="205">
        <v>149</v>
      </c>
      <c r="I19" s="205">
        <v>89</v>
      </c>
      <c r="J19" s="205">
        <v>105</v>
      </c>
      <c r="K19" s="205">
        <v>88</v>
      </c>
    </row>
    <row r="20" spans="1:11" ht="15" customHeight="1" x14ac:dyDescent="0.2">
      <c r="A20" s="359" t="s">
        <v>63</v>
      </c>
      <c r="B20" s="360">
        <v>1412</v>
      </c>
      <c r="C20" s="360">
        <v>787</v>
      </c>
      <c r="D20" s="360">
        <v>813</v>
      </c>
      <c r="E20" s="360">
        <v>574</v>
      </c>
      <c r="F20" s="360">
        <v>1902</v>
      </c>
      <c r="G20" s="360">
        <v>760</v>
      </c>
      <c r="H20" s="360">
        <v>1430</v>
      </c>
      <c r="I20" s="361">
        <v>827</v>
      </c>
      <c r="J20" s="360">
        <v>1335</v>
      </c>
      <c r="K20" s="361">
        <v>828</v>
      </c>
    </row>
    <row r="21" spans="1:11" ht="15" customHeight="1" x14ac:dyDescent="0.2">
      <c r="A21" s="45" t="s">
        <v>64</v>
      </c>
      <c r="B21" s="205">
        <v>349</v>
      </c>
      <c r="C21" s="205">
        <v>263</v>
      </c>
      <c r="D21" s="205">
        <v>174</v>
      </c>
      <c r="E21" s="205">
        <v>247</v>
      </c>
      <c r="F21" s="205">
        <v>386</v>
      </c>
      <c r="G21" s="205">
        <v>203</v>
      </c>
      <c r="H21" s="205">
        <v>259</v>
      </c>
      <c r="I21" s="205">
        <v>204</v>
      </c>
      <c r="J21" s="205">
        <v>266</v>
      </c>
      <c r="K21" s="205">
        <v>244</v>
      </c>
    </row>
    <row r="22" spans="1:11" ht="15" customHeight="1" x14ac:dyDescent="0.2">
      <c r="A22" s="359" t="s">
        <v>65</v>
      </c>
      <c r="B22" s="360">
        <v>573</v>
      </c>
      <c r="C22" s="360">
        <v>48</v>
      </c>
      <c r="D22" s="360">
        <v>323</v>
      </c>
      <c r="E22" s="360">
        <v>31</v>
      </c>
      <c r="F22" s="360">
        <v>824</v>
      </c>
      <c r="G22" s="360">
        <v>76</v>
      </c>
      <c r="H22" s="360">
        <v>531</v>
      </c>
      <c r="I22" s="361">
        <v>178</v>
      </c>
      <c r="J22" s="360">
        <v>705</v>
      </c>
      <c r="K22" s="361">
        <v>150</v>
      </c>
    </row>
    <row r="23" spans="1:11" ht="15" customHeight="1" x14ac:dyDescent="0.2">
      <c r="A23" s="45" t="s">
        <v>66</v>
      </c>
      <c r="B23" s="205">
        <v>0</v>
      </c>
      <c r="C23" s="205">
        <v>8</v>
      </c>
      <c r="D23" s="205">
        <v>0</v>
      </c>
      <c r="E23" s="205">
        <v>5</v>
      </c>
      <c r="F23" s="205">
        <v>0</v>
      </c>
      <c r="G23" s="205">
        <v>5</v>
      </c>
      <c r="H23" s="205">
        <v>0</v>
      </c>
      <c r="I23" s="205">
        <v>6</v>
      </c>
      <c r="J23" s="205">
        <v>0</v>
      </c>
      <c r="K23" s="205">
        <v>9</v>
      </c>
    </row>
    <row r="24" spans="1:11" ht="15" customHeight="1" x14ac:dyDescent="0.2">
      <c r="A24" s="359" t="s">
        <v>67</v>
      </c>
      <c r="B24" s="360">
        <v>53</v>
      </c>
      <c r="C24" s="360">
        <v>64</v>
      </c>
      <c r="D24" s="360">
        <v>29</v>
      </c>
      <c r="E24" s="360">
        <v>46</v>
      </c>
      <c r="F24" s="360">
        <v>72</v>
      </c>
      <c r="G24" s="360">
        <v>54</v>
      </c>
      <c r="H24" s="360">
        <v>37</v>
      </c>
      <c r="I24" s="361">
        <v>35</v>
      </c>
      <c r="J24" s="360">
        <v>59</v>
      </c>
      <c r="K24" s="361">
        <v>55</v>
      </c>
    </row>
    <row r="25" spans="1:11" ht="15" customHeight="1" x14ac:dyDescent="0.2">
      <c r="A25" s="45" t="s">
        <v>68</v>
      </c>
      <c r="B25" s="205">
        <v>15</v>
      </c>
      <c r="C25" s="205">
        <v>15</v>
      </c>
      <c r="D25" s="205">
        <v>8</v>
      </c>
      <c r="E25" s="205">
        <v>9</v>
      </c>
      <c r="F25" s="205">
        <v>23</v>
      </c>
      <c r="G25" s="205">
        <v>18</v>
      </c>
      <c r="H25" s="205">
        <v>19</v>
      </c>
      <c r="I25" s="205">
        <v>9</v>
      </c>
      <c r="J25" s="205">
        <v>16</v>
      </c>
      <c r="K25" s="205">
        <v>17</v>
      </c>
    </row>
    <row r="26" spans="1:11" ht="15" customHeight="1" x14ac:dyDescent="0.2">
      <c r="A26" s="359" t="s">
        <v>69</v>
      </c>
      <c r="B26" s="360">
        <v>355</v>
      </c>
      <c r="C26" s="360">
        <v>92</v>
      </c>
      <c r="D26" s="360">
        <v>161</v>
      </c>
      <c r="E26" s="360">
        <v>50</v>
      </c>
      <c r="F26" s="360">
        <v>470</v>
      </c>
      <c r="G26" s="360">
        <v>77</v>
      </c>
      <c r="H26" s="360">
        <v>424</v>
      </c>
      <c r="I26" s="361">
        <v>72</v>
      </c>
      <c r="J26" s="360">
        <v>433</v>
      </c>
      <c r="K26" s="361">
        <v>87</v>
      </c>
    </row>
    <row r="27" spans="1:11" ht="15" customHeight="1" x14ac:dyDescent="0.2">
      <c r="A27" s="45" t="s">
        <v>70</v>
      </c>
      <c r="B27" s="205">
        <v>117</v>
      </c>
      <c r="C27" s="205">
        <v>69</v>
      </c>
      <c r="D27" s="205">
        <v>41</v>
      </c>
      <c r="E27" s="205">
        <v>83</v>
      </c>
      <c r="F27" s="205">
        <v>235</v>
      </c>
      <c r="G27" s="205">
        <v>83</v>
      </c>
      <c r="H27" s="205">
        <v>120</v>
      </c>
      <c r="I27" s="205">
        <v>86</v>
      </c>
      <c r="J27" s="205">
        <v>131</v>
      </c>
      <c r="K27" s="205">
        <v>100</v>
      </c>
    </row>
    <row r="28" spans="1:11" ht="15" customHeight="1" x14ac:dyDescent="0.2">
      <c r="A28" s="359" t="s">
        <v>71</v>
      </c>
      <c r="B28" s="360">
        <v>31</v>
      </c>
      <c r="C28" s="360">
        <v>56</v>
      </c>
      <c r="D28" s="360">
        <v>6</v>
      </c>
      <c r="E28" s="360">
        <v>55</v>
      </c>
      <c r="F28" s="360">
        <v>30</v>
      </c>
      <c r="G28" s="360">
        <v>46</v>
      </c>
      <c r="H28" s="360">
        <v>29</v>
      </c>
      <c r="I28" s="361">
        <v>45</v>
      </c>
      <c r="J28" s="360">
        <v>29</v>
      </c>
      <c r="K28" s="361">
        <v>39</v>
      </c>
    </row>
    <row r="29" spans="1:11" ht="15" customHeight="1" x14ac:dyDescent="0.2">
      <c r="A29" s="45" t="s">
        <v>72</v>
      </c>
      <c r="B29" s="205">
        <v>1</v>
      </c>
      <c r="C29" s="205">
        <v>7</v>
      </c>
      <c r="D29" s="205">
        <v>0</v>
      </c>
      <c r="E29" s="205">
        <v>0</v>
      </c>
      <c r="F29" s="205">
        <v>0</v>
      </c>
      <c r="G29" s="205">
        <v>0</v>
      </c>
      <c r="H29" s="205">
        <v>0</v>
      </c>
      <c r="I29" s="205">
        <v>1</v>
      </c>
      <c r="J29" s="205">
        <v>0</v>
      </c>
      <c r="K29" s="205">
        <v>0</v>
      </c>
    </row>
    <row r="30" spans="1:11" ht="15" customHeight="1" x14ac:dyDescent="0.2">
      <c r="A30" s="359" t="s">
        <v>73</v>
      </c>
      <c r="B30" s="360">
        <v>4</v>
      </c>
      <c r="C30" s="360">
        <v>2</v>
      </c>
      <c r="D30" s="360">
        <v>1</v>
      </c>
      <c r="E30" s="360">
        <v>0</v>
      </c>
      <c r="F30" s="360">
        <v>2</v>
      </c>
      <c r="G30" s="360">
        <v>2</v>
      </c>
      <c r="H30" s="360">
        <v>2</v>
      </c>
      <c r="I30" s="361">
        <v>2</v>
      </c>
      <c r="J30" s="360">
        <v>1</v>
      </c>
      <c r="K30" s="361">
        <v>1</v>
      </c>
    </row>
    <row r="31" spans="1:11" ht="15" customHeight="1" x14ac:dyDescent="0.2">
      <c r="A31" s="45" t="s">
        <v>74</v>
      </c>
      <c r="B31" s="205">
        <v>320</v>
      </c>
      <c r="C31" s="205">
        <v>94</v>
      </c>
      <c r="D31" s="205">
        <v>115</v>
      </c>
      <c r="E31" s="205">
        <v>58</v>
      </c>
      <c r="F31" s="205">
        <v>390</v>
      </c>
      <c r="G31" s="205">
        <v>84</v>
      </c>
      <c r="H31" s="205">
        <v>170</v>
      </c>
      <c r="I31" s="205">
        <v>79</v>
      </c>
      <c r="J31" s="205">
        <v>250</v>
      </c>
      <c r="K31" s="205">
        <v>89</v>
      </c>
    </row>
    <row r="32" spans="1:11" ht="15" customHeight="1" x14ac:dyDescent="0.2">
      <c r="A32" s="359" t="s">
        <v>75</v>
      </c>
      <c r="B32" s="360">
        <v>348</v>
      </c>
      <c r="C32" s="360">
        <v>297</v>
      </c>
      <c r="D32" s="360">
        <v>207</v>
      </c>
      <c r="E32" s="360">
        <v>206</v>
      </c>
      <c r="F32" s="360">
        <v>513</v>
      </c>
      <c r="G32" s="360">
        <v>240</v>
      </c>
      <c r="H32" s="360">
        <v>337</v>
      </c>
      <c r="I32" s="361">
        <v>224</v>
      </c>
      <c r="J32" s="360">
        <v>293</v>
      </c>
      <c r="K32" s="361">
        <v>238</v>
      </c>
    </row>
    <row r="33" spans="1:11" ht="15" customHeight="1" x14ac:dyDescent="0.2">
      <c r="A33" s="45" t="s">
        <v>76</v>
      </c>
      <c r="B33" s="205">
        <v>0</v>
      </c>
      <c r="C33" s="205">
        <v>51</v>
      </c>
      <c r="D33" s="205">
        <v>0</v>
      </c>
      <c r="E33" s="205">
        <v>28</v>
      </c>
      <c r="F33" s="205">
        <v>0</v>
      </c>
      <c r="G33" s="205">
        <v>19</v>
      </c>
      <c r="H33" s="205">
        <v>0</v>
      </c>
      <c r="I33" s="205">
        <v>27</v>
      </c>
      <c r="J33" s="205">
        <v>2</v>
      </c>
      <c r="K33" s="205">
        <v>26</v>
      </c>
    </row>
    <row r="34" spans="1:11" ht="15" customHeight="1" x14ac:dyDescent="0.2">
      <c r="A34" s="359" t="s">
        <v>173</v>
      </c>
      <c r="B34" s="360">
        <v>220</v>
      </c>
      <c r="C34" s="360">
        <v>76</v>
      </c>
      <c r="D34" s="360">
        <v>183</v>
      </c>
      <c r="E34" s="360">
        <v>51</v>
      </c>
      <c r="F34" s="360">
        <v>308</v>
      </c>
      <c r="G34" s="360">
        <v>63</v>
      </c>
      <c r="H34" s="360">
        <v>279</v>
      </c>
      <c r="I34" s="361">
        <v>41</v>
      </c>
      <c r="J34" s="360">
        <v>267</v>
      </c>
      <c r="K34" s="361">
        <v>48</v>
      </c>
    </row>
    <row r="35" spans="1:11" ht="15" customHeight="1" x14ac:dyDescent="0.2">
      <c r="A35" s="45" t="s">
        <v>77</v>
      </c>
      <c r="B35" s="205">
        <v>126</v>
      </c>
      <c r="C35" s="205">
        <v>57</v>
      </c>
      <c r="D35" s="205">
        <v>53</v>
      </c>
      <c r="E35" s="205">
        <v>57</v>
      </c>
      <c r="F35" s="205">
        <v>146</v>
      </c>
      <c r="G35" s="205">
        <v>59</v>
      </c>
      <c r="H35" s="205">
        <v>120</v>
      </c>
      <c r="I35" s="205">
        <v>54</v>
      </c>
      <c r="J35" s="205">
        <v>55</v>
      </c>
      <c r="K35" s="205">
        <v>68</v>
      </c>
    </row>
    <row r="36" spans="1:11" ht="15" customHeight="1" x14ac:dyDescent="0.2">
      <c r="A36" s="359" t="s">
        <v>78</v>
      </c>
      <c r="B36" s="360">
        <v>1099</v>
      </c>
      <c r="C36" s="360">
        <v>134</v>
      </c>
      <c r="D36" s="360">
        <v>474</v>
      </c>
      <c r="E36" s="360">
        <v>106</v>
      </c>
      <c r="F36" s="360">
        <v>1132</v>
      </c>
      <c r="G36" s="360">
        <v>113</v>
      </c>
      <c r="H36" s="360">
        <v>912</v>
      </c>
      <c r="I36" s="361">
        <v>123</v>
      </c>
      <c r="J36" s="360">
        <v>1086</v>
      </c>
      <c r="K36" s="361">
        <v>117</v>
      </c>
    </row>
    <row r="37" spans="1:11" ht="15" customHeight="1" x14ac:dyDescent="0.2">
      <c r="A37" s="45" t="s">
        <v>79</v>
      </c>
      <c r="B37" s="205">
        <v>0</v>
      </c>
      <c r="C37" s="205">
        <v>7</v>
      </c>
      <c r="D37" s="205">
        <v>0</v>
      </c>
      <c r="E37" s="205">
        <v>7</v>
      </c>
      <c r="F37" s="205">
        <v>0</v>
      </c>
      <c r="G37" s="205">
        <v>3</v>
      </c>
      <c r="H37" s="205">
        <v>0</v>
      </c>
      <c r="I37" s="205">
        <v>8</v>
      </c>
      <c r="J37" s="205">
        <v>0</v>
      </c>
      <c r="K37" s="205">
        <v>3</v>
      </c>
    </row>
    <row r="38" spans="1:11" ht="15" customHeight="1" x14ac:dyDescent="0.2">
      <c r="A38" s="359" t="s">
        <v>123</v>
      </c>
      <c r="B38" s="360">
        <v>729</v>
      </c>
      <c r="C38" s="360">
        <v>545</v>
      </c>
      <c r="D38" s="360">
        <v>565</v>
      </c>
      <c r="E38" s="360">
        <v>488</v>
      </c>
      <c r="F38" s="360">
        <v>1032</v>
      </c>
      <c r="G38" s="360">
        <v>605</v>
      </c>
      <c r="H38" s="360">
        <v>753</v>
      </c>
      <c r="I38" s="361">
        <v>494</v>
      </c>
      <c r="J38" s="360">
        <v>661</v>
      </c>
      <c r="K38" s="361">
        <v>570</v>
      </c>
    </row>
    <row r="39" spans="1:11" ht="15" customHeight="1" x14ac:dyDescent="0.2">
      <c r="A39" s="45" t="s">
        <v>80</v>
      </c>
      <c r="B39" s="205">
        <v>24</v>
      </c>
      <c r="C39" s="205">
        <v>18</v>
      </c>
      <c r="D39" s="205">
        <v>13</v>
      </c>
      <c r="E39" s="205">
        <v>12</v>
      </c>
      <c r="F39" s="205">
        <v>33</v>
      </c>
      <c r="G39" s="205">
        <v>20</v>
      </c>
      <c r="H39" s="205">
        <v>23</v>
      </c>
      <c r="I39" s="205">
        <v>29</v>
      </c>
      <c r="J39" s="205">
        <v>24</v>
      </c>
      <c r="K39" s="205">
        <v>14</v>
      </c>
    </row>
    <row r="40" spans="1:11" ht="15" customHeight="1" x14ac:dyDescent="0.2">
      <c r="A40" s="359" t="s">
        <v>81</v>
      </c>
      <c r="B40" s="360">
        <v>4</v>
      </c>
      <c r="C40" s="360">
        <v>3</v>
      </c>
      <c r="D40" s="360">
        <v>1</v>
      </c>
      <c r="E40" s="360">
        <v>2</v>
      </c>
      <c r="F40" s="360">
        <v>10</v>
      </c>
      <c r="G40" s="360">
        <v>5</v>
      </c>
      <c r="H40" s="360">
        <v>10</v>
      </c>
      <c r="I40" s="361">
        <v>1</v>
      </c>
      <c r="J40" s="360">
        <v>5</v>
      </c>
      <c r="K40" s="361">
        <v>2</v>
      </c>
    </row>
    <row r="41" spans="1:11" ht="15" customHeight="1" x14ac:dyDescent="0.2">
      <c r="A41" s="45" t="s">
        <v>82</v>
      </c>
      <c r="B41" s="205">
        <v>1152</v>
      </c>
      <c r="C41" s="205">
        <v>338</v>
      </c>
      <c r="D41" s="205">
        <v>811</v>
      </c>
      <c r="E41" s="205">
        <v>268</v>
      </c>
      <c r="F41" s="205">
        <v>990</v>
      </c>
      <c r="G41" s="205">
        <v>330</v>
      </c>
      <c r="H41" s="205">
        <v>783</v>
      </c>
      <c r="I41" s="205">
        <v>293</v>
      </c>
      <c r="J41" s="205">
        <v>735</v>
      </c>
      <c r="K41" s="205">
        <v>300</v>
      </c>
    </row>
    <row r="42" spans="1:11" ht="15" customHeight="1" x14ac:dyDescent="0.2">
      <c r="A42" s="359" t="s">
        <v>83</v>
      </c>
      <c r="B42" s="360">
        <v>0</v>
      </c>
      <c r="C42" s="360">
        <v>4</v>
      </c>
      <c r="D42" s="360">
        <v>0</v>
      </c>
      <c r="E42" s="360">
        <v>2</v>
      </c>
      <c r="F42" s="360">
        <v>0</v>
      </c>
      <c r="G42" s="360">
        <v>2</v>
      </c>
      <c r="H42" s="360">
        <v>11</v>
      </c>
      <c r="I42" s="361">
        <v>4</v>
      </c>
      <c r="J42" s="360">
        <v>0</v>
      </c>
      <c r="K42" s="361">
        <v>0</v>
      </c>
    </row>
    <row r="43" spans="1:11" ht="15" customHeight="1" x14ac:dyDescent="0.2">
      <c r="A43" s="45" t="s">
        <v>84</v>
      </c>
      <c r="B43" s="205">
        <v>0</v>
      </c>
      <c r="C43" s="205">
        <v>59</v>
      </c>
      <c r="D43" s="205">
        <v>0</v>
      </c>
      <c r="E43" s="205">
        <v>35</v>
      </c>
      <c r="F43" s="205">
        <v>0</v>
      </c>
      <c r="G43" s="205">
        <v>46</v>
      </c>
      <c r="H43" s="205">
        <v>0</v>
      </c>
      <c r="I43" s="205">
        <v>30</v>
      </c>
      <c r="J43" s="205">
        <v>0</v>
      </c>
      <c r="K43" s="205">
        <v>30</v>
      </c>
    </row>
    <row r="44" spans="1:11" ht="15" customHeight="1" x14ac:dyDescent="0.2">
      <c r="A44" s="359" t="s">
        <v>85</v>
      </c>
      <c r="B44" s="360">
        <v>25</v>
      </c>
      <c r="C44" s="360">
        <v>62</v>
      </c>
      <c r="D44" s="360">
        <v>16</v>
      </c>
      <c r="E44" s="360">
        <v>53</v>
      </c>
      <c r="F44" s="360">
        <v>46</v>
      </c>
      <c r="G44" s="360">
        <v>69</v>
      </c>
      <c r="H44" s="360">
        <v>16</v>
      </c>
      <c r="I44" s="361">
        <v>75</v>
      </c>
      <c r="J44" s="360">
        <v>2</v>
      </c>
      <c r="K44" s="361">
        <v>68</v>
      </c>
    </row>
    <row r="45" spans="1:11" ht="15" customHeight="1" x14ac:dyDescent="0.2">
      <c r="A45" s="45" t="s">
        <v>86</v>
      </c>
      <c r="B45" s="205">
        <v>294</v>
      </c>
      <c r="C45" s="205">
        <v>277</v>
      </c>
      <c r="D45" s="205">
        <v>152</v>
      </c>
      <c r="E45" s="205">
        <v>271</v>
      </c>
      <c r="F45" s="205">
        <v>469</v>
      </c>
      <c r="G45" s="205">
        <v>398</v>
      </c>
      <c r="H45" s="205">
        <v>295</v>
      </c>
      <c r="I45" s="205">
        <v>422</v>
      </c>
      <c r="J45" s="205">
        <v>373</v>
      </c>
      <c r="K45" s="205">
        <v>371</v>
      </c>
    </row>
    <row r="46" spans="1:11" ht="15" customHeight="1" x14ac:dyDescent="0.2">
      <c r="A46" s="154" t="s">
        <v>87</v>
      </c>
      <c r="B46" s="156">
        <v>168</v>
      </c>
      <c r="C46" s="156">
        <v>89</v>
      </c>
      <c r="D46" s="156">
        <v>162</v>
      </c>
      <c r="E46" s="156">
        <v>83</v>
      </c>
      <c r="F46" s="156">
        <v>353</v>
      </c>
      <c r="G46" s="156">
        <v>108</v>
      </c>
      <c r="H46" s="156">
        <v>377</v>
      </c>
      <c r="I46" s="156">
        <v>135</v>
      </c>
      <c r="J46" s="156">
        <v>269</v>
      </c>
      <c r="K46" s="156">
        <v>142</v>
      </c>
    </row>
    <row r="47" spans="1:11" ht="15" customHeight="1" x14ac:dyDescent="0.2">
      <c r="A47" s="85" t="s">
        <v>258</v>
      </c>
      <c r="B47" s="205">
        <v>22</v>
      </c>
      <c r="C47" s="205">
        <v>8</v>
      </c>
      <c r="D47" s="205">
        <v>12</v>
      </c>
      <c r="E47" s="205">
        <v>6</v>
      </c>
      <c r="F47" s="205">
        <v>19</v>
      </c>
      <c r="G47" s="205">
        <v>8</v>
      </c>
      <c r="H47" s="205">
        <v>16</v>
      </c>
      <c r="I47" s="205">
        <v>13</v>
      </c>
      <c r="J47" s="205">
        <v>13</v>
      </c>
      <c r="K47" s="205">
        <v>9</v>
      </c>
    </row>
    <row r="48" spans="1:11" ht="15" customHeight="1" x14ac:dyDescent="0.2">
      <c r="A48" s="154" t="s">
        <v>105</v>
      </c>
      <c r="B48" s="156">
        <v>8</v>
      </c>
      <c r="C48" s="156">
        <v>4</v>
      </c>
      <c r="D48" s="156">
        <v>4</v>
      </c>
      <c r="E48" s="156">
        <v>3</v>
      </c>
      <c r="F48" s="156">
        <v>2</v>
      </c>
      <c r="G48" s="156">
        <v>4</v>
      </c>
      <c r="H48" s="156">
        <v>0</v>
      </c>
      <c r="I48" s="156">
        <v>4</v>
      </c>
      <c r="J48" s="156">
        <v>1</v>
      </c>
      <c r="K48" s="156">
        <v>2</v>
      </c>
    </row>
    <row r="49" spans="1:11" ht="15" customHeight="1" x14ac:dyDescent="0.2">
      <c r="A49" s="85" t="s">
        <v>88</v>
      </c>
      <c r="B49" s="205">
        <v>15</v>
      </c>
      <c r="C49" s="205">
        <v>27</v>
      </c>
      <c r="D49" s="205">
        <v>3</v>
      </c>
      <c r="E49" s="205">
        <v>19</v>
      </c>
      <c r="F49" s="205">
        <v>27</v>
      </c>
      <c r="G49" s="205">
        <v>29</v>
      </c>
      <c r="H49" s="205">
        <v>7</v>
      </c>
      <c r="I49" s="205">
        <v>21</v>
      </c>
      <c r="J49" s="205">
        <v>4</v>
      </c>
      <c r="K49" s="205">
        <v>20</v>
      </c>
    </row>
    <row r="50" spans="1:11" ht="15" customHeight="1" x14ac:dyDescent="0.2">
      <c r="A50" s="154" t="s">
        <v>89</v>
      </c>
      <c r="B50" s="156">
        <v>244</v>
      </c>
      <c r="C50" s="156">
        <v>23</v>
      </c>
      <c r="D50" s="156">
        <v>91</v>
      </c>
      <c r="E50" s="156">
        <v>23</v>
      </c>
      <c r="F50" s="156">
        <v>330</v>
      </c>
      <c r="G50" s="156">
        <v>23</v>
      </c>
      <c r="H50" s="156">
        <v>185</v>
      </c>
      <c r="I50" s="156">
        <v>22</v>
      </c>
      <c r="J50" s="156">
        <v>166</v>
      </c>
      <c r="K50" s="156">
        <v>23</v>
      </c>
    </row>
    <row r="51" spans="1:11" ht="15" customHeight="1" x14ac:dyDescent="0.2">
      <c r="A51" s="85" t="s">
        <v>90</v>
      </c>
      <c r="B51" s="205">
        <v>586</v>
      </c>
      <c r="C51" s="205">
        <v>624</v>
      </c>
      <c r="D51" s="205">
        <v>292</v>
      </c>
      <c r="E51" s="205">
        <v>501</v>
      </c>
      <c r="F51" s="205">
        <v>944</v>
      </c>
      <c r="G51" s="205">
        <v>573</v>
      </c>
      <c r="H51" s="205">
        <v>390</v>
      </c>
      <c r="I51" s="205">
        <v>524</v>
      </c>
      <c r="J51" s="205">
        <v>503</v>
      </c>
      <c r="K51" s="205">
        <v>568</v>
      </c>
    </row>
    <row r="52" spans="1:11" ht="15" customHeight="1" x14ac:dyDescent="0.2">
      <c r="A52" s="154" t="s">
        <v>106</v>
      </c>
      <c r="B52" s="156">
        <v>0</v>
      </c>
      <c r="C52" s="156">
        <v>4</v>
      </c>
      <c r="D52" s="156">
        <v>0</v>
      </c>
      <c r="E52" s="156">
        <v>1</v>
      </c>
      <c r="F52" s="156">
        <v>0</v>
      </c>
      <c r="G52" s="156">
        <v>3</v>
      </c>
      <c r="H52" s="156">
        <v>0</v>
      </c>
      <c r="I52" s="156">
        <v>7</v>
      </c>
      <c r="J52" s="156">
        <v>0</v>
      </c>
      <c r="K52" s="156">
        <v>8</v>
      </c>
    </row>
    <row r="53" spans="1:11" ht="15" customHeight="1" x14ac:dyDescent="0.2">
      <c r="A53" s="85" t="s">
        <v>91</v>
      </c>
      <c r="B53" s="205">
        <v>1464</v>
      </c>
      <c r="C53" s="205">
        <v>904</v>
      </c>
      <c r="D53" s="205">
        <v>1019</v>
      </c>
      <c r="E53" s="205">
        <v>826</v>
      </c>
      <c r="F53" s="205">
        <v>1735</v>
      </c>
      <c r="G53" s="205">
        <v>982</v>
      </c>
      <c r="H53" s="205">
        <v>1278</v>
      </c>
      <c r="I53" s="205">
        <v>902</v>
      </c>
      <c r="J53" s="205">
        <v>1348</v>
      </c>
      <c r="K53" s="205">
        <v>898</v>
      </c>
    </row>
    <row r="54" spans="1:11" ht="15" customHeight="1" x14ac:dyDescent="0.2">
      <c r="A54" s="154" t="s">
        <v>92</v>
      </c>
      <c r="B54" s="156">
        <v>1046</v>
      </c>
      <c r="C54" s="156">
        <v>1294</v>
      </c>
      <c r="D54" s="156">
        <v>631</v>
      </c>
      <c r="E54" s="156">
        <v>1038</v>
      </c>
      <c r="F54" s="156">
        <v>1460</v>
      </c>
      <c r="G54" s="156">
        <v>1232</v>
      </c>
      <c r="H54" s="156">
        <v>1165</v>
      </c>
      <c r="I54" s="156">
        <v>1120</v>
      </c>
      <c r="J54" s="156">
        <v>1079</v>
      </c>
      <c r="K54" s="156">
        <v>1143</v>
      </c>
    </row>
    <row r="55" spans="1:11" ht="15" customHeight="1" x14ac:dyDescent="0.2">
      <c r="A55" s="85" t="s">
        <v>93</v>
      </c>
      <c r="B55" s="205">
        <v>200</v>
      </c>
      <c r="C55" s="205">
        <v>94</v>
      </c>
      <c r="D55" s="205">
        <v>105</v>
      </c>
      <c r="E55" s="205">
        <v>89</v>
      </c>
      <c r="F55" s="205">
        <v>224</v>
      </c>
      <c r="G55" s="205">
        <v>99</v>
      </c>
      <c r="H55" s="205">
        <v>152</v>
      </c>
      <c r="I55" s="205">
        <v>123</v>
      </c>
      <c r="J55" s="205">
        <v>136</v>
      </c>
      <c r="K55" s="205">
        <v>161</v>
      </c>
    </row>
    <row r="56" spans="1:11" ht="15" customHeight="1" thickBot="1" x14ac:dyDescent="0.25">
      <c r="A56" s="208" t="s">
        <v>94</v>
      </c>
      <c r="B56" s="263">
        <v>6</v>
      </c>
      <c r="C56" s="263">
        <v>76</v>
      </c>
      <c r="D56" s="263">
        <v>7</v>
      </c>
      <c r="E56" s="263">
        <v>52</v>
      </c>
      <c r="F56" s="263">
        <v>13</v>
      </c>
      <c r="G56" s="263">
        <v>54</v>
      </c>
      <c r="H56" s="263">
        <v>10</v>
      </c>
      <c r="I56" s="263">
        <v>59</v>
      </c>
      <c r="J56" s="263">
        <v>9</v>
      </c>
      <c r="K56" s="263">
        <v>60</v>
      </c>
    </row>
    <row r="57" spans="1:11" ht="4.5" customHeight="1" thickTop="1" x14ac:dyDescent="0.2">
      <c r="A57" s="45"/>
      <c r="B57" s="205"/>
      <c r="C57" s="205"/>
      <c r="D57" s="205"/>
      <c r="E57" s="205"/>
      <c r="F57" s="205"/>
      <c r="G57" s="205"/>
    </row>
    <row r="58" spans="1:11" ht="15" x14ac:dyDescent="0.25">
      <c r="A58" s="135" t="s">
        <v>225</v>
      </c>
      <c r="B58" s="259">
        <v>12937</v>
      </c>
      <c r="C58" s="259">
        <v>8012</v>
      </c>
      <c r="D58" s="259">
        <v>7669</v>
      </c>
      <c r="E58" s="259">
        <v>6485</v>
      </c>
      <c r="F58" s="259">
        <v>16586</v>
      </c>
      <c r="G58" s="259">
        <v>7784</v>
      </c>
      <c r="H58" s="259">
        <v>12164</v>
      </c>
      <c r="I58" s="259">
        <v>7594</v>
      </c>
      <c r="J58" s="259">
        <v>12062</v>
      </c>
      <c r="K58" s="259">
        <v>7951</v>
      </c>
    </row>
    <row r="59" spans="1:11" ht="3.75" customHeight="1" x14ac:dyDescent="0.2">
      <c r="A59" s="133"/>
      <c r="B59" s="205"/>
      <c r="C59" s="205"/>
      <c r="D59" s="205"/>
      <c r="E59" s="205"/>
      <c r="F59" s="205"/>
      <c r="G59" s="205"/>
      <c r="H59" s="205"/>
      <c r="I59" s="205"/>
      <c r="J59" s="205"/>
      <c r="K59" s="205"/>
    </row>
    <row r="60" spans="1:11" ht="15.75" thickBot="1" x14ac:dyDescent="0.3">
      <c r="A60" s="181" t="s">
        <v>222</v>
      </c>
      <c r="B60" s="402">
        <v>20949</v>
      </c>
      <c r="C60" s="403"/>
      <c r="D60" s="402">
        <v>14154</v>
      </c>
      <c r="E60" s="403"/>
      <c r="F60" s="402">
        <v>24370</v>
      </c>
      <c r="G60" s="403"/>
      <c r="H60" s="402">
        <v>19758</v>
      </c>
      <c r="I60" s="403"/>
      <c r="J60" s="402">
        <v>20013</v>
      </c>
      <c r="K60" s="403"/>
    </row>
    <row r="61" spans="1:11" ht="12.75" customHeight="1" x14ac:dyDescent="0.2">
      <c r="A61" s="46"/>
      <c r="B61" s="85"/>
      <c r="F61" s="85"/>
      <c r="H61" s="85"/>
      <c r="J61" s="85" t="s">
        <v>207</v>
      </c>
    </row>
    <row r="62" spans="1:11" ht="15" customHeight="1" x14ac:dyDescent="0.2">
      <c r="A62" s="5"/>
    </row>
  </sheetData>
  <mergeCells count="10">
    <mergeCell ref="B3:C3"/>
    <mergeCell ref="B60:C60"/>
    <mergeCell ref="J3:K3"/>
    <mergeCell ref="J60:K60"/>
    <mergeCell ref="D3:E3"/>
    <mergeCell ref="D60:E60"/>
    <mergeCell ref="H3:I3"/>
    <mergeCell ref="H60:I60"/>
    <mergeCell ref="F3:G3"/>
    <mergeCell ref="F60:G60"/>
  </mergeCells>
  <phoneticPr fontId="0" type="noConversion"/>
  <pageMargins left="0.75" right="0.75" top="1" bottom="1" header="0.5" footer="0.5"/>
  <pageSetup paperSize="9" scale="9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4"/>
  <sheetViews>
    <sheetView showGridLines="0" workbookViewId="0">
      <selection activeCell="K19" sqref="K19"/>
    </sheetView>
  </sheetViews>
  <sheetFormatPr defaultRowHeight="12.75" x14ac:dyDescent="0.2"/>
  <cols>
    <col min="1" max="1" width="14.42578125" style="5" customWidth="1"/>
    <col min="2" max="3" width="11.28515625" style="5" customWidth="1"/>
    <col min="4" max="4" width="11.140625" style="5" customWidth="1"/>
    <col min="5" max="5" width="10.5703125" style="5" customWidth="1"/>
    <col min="6" max="8" width="10.7109375" style="5" customWidth="1"/>
    <col min="9" max="9" width="10.5703125" style="5" customWidth="1"/>
    <col min="10" max="16384" width="9.140625" style="5"/>
  </cols>
  <sheetData>
    <row r="1" spans="1:11" s="127" customFormat="1" ht="15" customHeight="1" x14ac:dyDescent="0.25">
      <c r="A1" s="130" t="s">
        <v>394</v>
      </c>
      <c r="B1" s="132"/>
      <c r="C1" s="132"/>
      <c r="D1" s="132"/>
      <c r="E1" s="134"/>
      <c r="F1" s="135"/>
      <c r="G1" s="135"/>
      <c r="H1" s="135"/>
      <c r="I1" s="135"/>
      <c r="J1" s="133"/>
      <c r="K1" s="133"/>
    </row>
    <row r="2" spans="1:11" ht="15.75" customHeight="1" thickBot="1" x14ac:dyDescent="0.25">
      <c r="A2" s="8" t="s">
        <v>181</v>
      </c>
      <c r="B2" s="9"/>
      <c r="C2" s="9"/>
      <c r="D2" s="10"/>
      <c r="E2" s="12"/>
      <c r="F2" s="13"/>
      <c r="G2" s="13"/>
      <c r="H2" s="13"/>
      <c r="I2" s="13"/>
      <c r="J2" s="14"/>
      <c r="K2" s="14"/>
    </row>
    <row r="3" spans="1:11" ht="35.25" customHeight="1" x14ac:dyDescent="0.2">
      <c r="A3" s="174"/>
      <c r="B3" s="406" t="s">
        <v>109</v>
      </c>
      <c r="C3" s="406"/>
      <c r="D3" s="406"/>
      <c r="E3" s="175" t="s">
        <v>218</v>
      </c>
      <c r="F3" s="404" t="s">
        <v>175</v>
      </c>
      <c r="G3" s="404"/>
      <c r="H3" s="405"/>
      <c r="I3" s="142" t="s">
        <v>108</v>
      </c>
    </row>
    <row r="4" spans="1:11" ht="22.5" customHeight="1" x14ac:dyDescent="0.2">
      <c r="A4" s="2"/>
      <c r="B4" s="55"/>
      <c r="C4" s="55"/>
      <c r="D4" s="55"/>
      <c r="E4" s="65"/>
      <c r="F4" s="70" t="s">
        <v>110</v>
      </c>
      <c r="G4" s="144" t="s">
        <v>111</v>
      </c>
      <c r="H4" s="144" t="s">
        <v>94</v>
      </c>
      <c r="I4" s="2"/>
    </row>
    <row r="5" spans="1:11" ht="16.5" customHeight="1" x14ac:dyDescent="0.2">
      <c r="A5" s="66" t="s">
        <v>95</v>
      </c>
      <c r="B5" s="61" t="s">
        <v>390</v>
      </c>
      <c r="C5" s="61" t="s">
        <v>391</v>
      </c>
      <c r="D5" s="61" t="s">
        <v>392</v>
      </c>
      <c r="E5" s="198" t="s">
        <v>388</v>
      </c>
      <c r="F5" s="145"/>
      <c r="G5" s="145"/>
      <c r="H5" s="145"/>
      <c r="I5" s="66"/>
    </row>
    <row r="6" spans="1:11" s="17" customFormat="1" ht="16.5" customHeight="1" x14ac:dyDescent="0.25">
      <c r="A6" s="3" t="s">
        <v>50</v>
      </c>
      <c r="B6" s="58">
        <v>8</v>
      </c>
      <c r="C6" s="58">
        <v>17</v>
      </c>
      <c r="D6" s="58">
        <v>23</v>
      </c>
      <c r="E6" s="67">
        <v>48</v>
      </c>
      <c r="F6" s="67">
        <v>0</v>
      </c>
      <c r="G6" s="68">
        <v>0</v>
      </c>
      <c r="H6" s="68">
        <v>0</v>
      </c>
      <c r="I6" s="58">
        <v>1</v>
      </c>
    </row>
    <row r="7" spans="1:11" s="17" customFormat="1" ht="15" x14ac:dyDescent="0.25">
      <c r="A7" s="154" t="s">
        <v>51</v>
      </c>
      <c r="B7" s="156">
        <v>100</v>
      </c>
      <c r="C7" s="156">
        <v>155</v>
      </c>
      <c r="D7" s="156">
        <v>198</v>
      </c>
      <c r="E7" s="157">
        <v>453</v>
      </c>
      <c r="F7" s="157">
        <v>0</v>
      </c>
      <c r="G7" s="158">
        <v>0</v>
      </c>
      <c r="H7" s="158">
        <v>0</v>
      </c>
      <c r="I7" s="156">
        <v>12</v>
      </c>
    </row>
    <row r="8" spans="1:11" s="17" customFormat="1" ht="15" x14ac:dyDescent="0.25">
      <c r="A8" s="3" t="s">
        <v>102</v>
      </c>
      <c r="B8" s="58">
        <v>0</v>
      </c>
      <c r="C8" s="58">
        <v>0</v>
      </c>
      <c r="D8" s="58">
        <v>0</v>
      </c>
      <c r="E8" s="67">
        <v>0</v>
      </c>
      <c r="F8" s="67">
        <v>0</v>
      </c>
      <c r="G8" s="68">
        <v>0</v>
      </c>
      <c r="H8" s="68">
        <v>0</v>
      </c>
      <c r="I8" s="58">
        <v>0</v>
      </c>
    </row>
    <row r="9" spans="1:11" s="17" customFormat="1" ht="15" x14ac:dyDescent="0.25">
      <c r="A9" s="154" t="s">
        <v>52</v>
      </c>
      <c r="B9" s="156">
        <v>171</v>
      </c>
      <c r="C9" s="156">
        <v>181</v>
      </c>
      <c r="D9" s="156">
        <v>222</v>
      </c>
      <c r="E9" s="157">
        <v>574</v>
      </c>
      <c r="F9" s="157">
        <v>4</v>
      </c>
      <c r="G9" s="158">
        <v>0</v>
      </c>
      <c r="H9" s="158">
        <v>0</v>
      </c>
      <c r="I9" s="156">
        <v>37</v>
      </c>
    </row>
    <row r="10" spans="1:11" s="17" customFormat="1" ht="15" x14ac:dyDescent="0.25">
      <c r="A10" s="3" t="s">
        <v>103</v>
      </c>
      <c r="B10" s="58">
        <v>0</v>
      </c>
      <c r="C10" s="58">
        <v>0</v>
      </c>
      <c r="D10" s="58">
        <v>0</v>
      </c>
      <c r="E10" s="67">
        <v>0</v>
      </c>
      <c r="F10" s="67">
        <v>0</v>
      </c>
      <c r="G10" s="68">
        <v>0</v>
      </c>
      <c r="H10" s="68">
        <v>0</v>
      </c>
      <c r="I10" s="58">
        <v>0</v>
      </c>
    </row>
    <row r="11" spans="1:11" s="217" customFormat="1" ht="15" x14ac:dyDescent="0.25">
      <c r="A11" s="154" t="s">
        <v>257</v>
      </c>
      <c r="B11" s="156">
        <v>27</v>
      </c>
      <c r="C11" s="156">
        <v>35</v>
      </c>
      <c r="D11" s="156">
        <v>35</v>
      </c>
      <c r="E11" s="157">
        <v>97</v>
      </c>
      <c r="F11" s="157">
        <v>1</v>
      </c>
      <c r="G11" s="158">
        <v>0</v>
      </c>
      <c r="H11" s="158">
        <v>0</v>
      </c>
      <c r="I11" s="156">
        <v>28</v>
      </c>
    </row>
    <row r="12" spans="1:11" s="217" customFormat="1" ht="15" x14ac:dyDescent="0.25">
      <c r="A12" s="85" t="s">
        <v>56</v>
      </c>
      <c r="B12" s="205">
        <v>1</v>
      </c>
      <c r="C12" s="205">
        <v>2</v>
      </c>
      <c r="D12" s="205">
        <v>12</v>
      </c>
      <c r="E12" s="171">
        <v>15</v>
      </c>
      <c r="F12" s="171">
        <v>0</v>
      </c>
      <c r="G12" s="170">
        <v>0</v>
      </c>
      <c r="H12" s="170">
        <v>0</v>
      </c>
      <c r="I12" s="205">
        <v>1</v>
      </c>
    </row>
    <row r="13" spans="1:11" s="217" customFormat="1" ht="15" x14ac:dyDescent="0.25">
      <c r="A13" s="154" t="s">
        <v>57</v>
      </c>
      <c r="B13" s="156">
        <v>179</v>
      </c>
      <c r="C13" s="156">
        <v>157</v>
      </c>
      <c r="D13" s="156">
        <v>177</v>
      </c>
      <c r="E13" s="157">
        <v>513</v>
      </c>
      <c r="F13" s="157">
        <v>0</v>
      </c>
      <c r="G13" s="158">
        <v>0</v>
      </c>
      <c r="H13" s="158">
        <v>0</v>
      </c>
      <c r="I13" s="156">
        <v>219</v>
      </c>
    </row>
    <row r="14" spans="1:11" s="217" customFormat="1" ht="15" x14ac:dyDescent="0.25">
      <c r="A14" s="85" t="s">
        <v>58</v>
      </c>
      <c r="B14" s="205">
        <v>0</v>
      </c>
      <c r="C14" s="205">
        <v>0</v>
      </c>
      <c r="D14" s="205">
        <v>0</v>
      </c>
      <c r="E14" s="171">
        <v>0</v>
      </c>
      <c r="F14" s="171">
        <v>0</v>
      </c>
      <c r="G14" s="170">
        <v>0</v>
      </c>
      <c r="H14" s="170">
        <v>0</v>
      </c>
      <c r="I14" s="205">
        <v>0</v>
      </c>
    </row>
    <row r="15" spans="1:11" s="217" customFormat="1" ht="15" x14ac:dyDescent="0.25">
      <c r="A15" s="154" t="s">
        <v>59</v>
      </c>
      <c r="B15" s="156">
        <v>0</v>
      </c>
      <c r="C15" s="156">
        <v>0</v>
      </c>
      <c r="D15" s="156">
        <v>0</v>
      </c>
      <c r="E15" s="157">
        <v>0</v>
      </c>
      <c r="F15" s="157">
        <v>0</v>
      </c>
      <c r="G15" s="158">
        <v>0</v>
      </c>
      <c r="H15" s="158">
        <v>0</v>
      </c>
      <c r="I15" s="156">
        <v>0</v>
      </c>
    </row>
    <row r="16" spans="1:11" s="217" customFormat="1" ht="15" x14ac:dyDescent="0.25">
      <c r="A16" s="85" t="s">
        <v>60</v>
      </c>
      <c r="B16" s="205">
        <v>0</v>
      </c>
      <c r="C16" s="205">
        <v>0</v>
      </c>
      <c r="D16" s="205">
        <v>0</v>
      </c>
      <c r="E16" s="171">
        <v>0</v>
      </c>
      <c r="F16" s="171">
        <v>0</v>
      </c>
      <c r="G16" s="170">
        <v>0</v>
      </c>
      <c r="H16" s="170">
        <v>0</v>
      </c>
      <c r="I16" s="205">
        <v>0</v>
      </c>
    </row>
    <row r="17" spans="1:9" s="17" customFormat="1" ht="15" x14ac:dyDescent="0.25">
      <c r="A17" s="154" t="s">
        <v>128</v>
      </c>
      <c r="B17" s="156">
        <v>0</v>
      </c>
      <c r="C17" s="156">
        <v>0</v>
      </c>
      <c r="D17" s="156">
        <v>0</v>
      </c>
      <c r="E17" s="157">
        <v>0</v>
      </c>
      <c r="F17" s="157">
        <v>0</v>
      </c>
      <c r="G17" s="158">
        <v>0</v>
      </c>
      <c r="H17" s="158">
        <v>0</v>
      </c>
      <c r="I17" s="156">
        <v>0</v>
      </c>
    </row>
    <row r="18" spans="1:9" s="217" customFormat="1" ht="15" x14ac:dyDescent="0.25">
      <c r="A18" s="85" t="s">
        <v>104</v>
      </c>
      <c r="B18" s="205">
        <v>0</v>
      </c>
      <c r="C18" s="205">
        <v>0</v>
      </c>
      <c r="D18" s="205">
        <v>0</v>
      </c>
      <c r="E18" s="171">
        <v>0</v>
      </c>
      <c r="F18" s="171">
        <v>0</v>
      </c>
      <c r="G18" s="170">
        <v>0</v>
      </c>
      <c r="H18" s="170">
        <v>0</v>
      </c>
      <c r="I18" s="205">
        <v>0</v>
      </c>
    </row>
    <row r="19" spans="1:9" s="17" customFormat="1" ht="15" x14ac:dyDescent="0.25">
      <c r="A19" s="154" t="s">
        <v>61</v>
      </c>
      <c r="B19" s="156">
        <v>0</v>
      </c>
      <c r="C19" s="156">
        <v>1</v>
      </c>
      <c r="D19" s="156">
        <v>0</v>
      </c>
      <c r="E19" s="157">
        <v>1</v>
      </c>
      <c r="F19" s="157">
        <v>0</v>
      </c>
      <c r="G19" s="158">
        <v>0</v>
      </c>
      <c r="H19" s="158">
        <v>0</v>
      </c>
      <c r="I19" s="156">
        <v>0</v>
      </c>
    </row>
    <row r="20" spans="1:9" s="17" customFormat="1" ht="15" x14ac:dyDescent="0.25">
      <c r="A20" s="3" t="s">
        <v>62</v>
      </c>
      <c r="B20" s="58">
        <v>26</v>
      </c>
      <c r="C20" s="58">
        <v>43</v>
      </c>
      <c r="D20" s="58">
        <v>36</v>
      </c>
      <c r="E20" s="67">
        <v>105</v>
      </c>
      <c r="F20" s="67">
        <v>7</v>
      </c>
      <c r="G20" s="68">
        <v>4</v>
      </c>
      <c r="H20" s="68">
        <v>0</v>
      </c>
      <c r="I20" s="58">
        <v>4</v>
      </c>
    </row>
    <row r="21" spans="1:9" s="17" customFormat="1" ht="15" x14ac:dyDescent="0.25">
      <c r="A21" s="154" t="s">
        <v>63</v>
      </c>
      <c r="B21" s="156">
        <v>356</v>
      </c>
      <c r="C21" s="156">
        <v>406</v>
      </c>
      <c r="D21" s="156">
        <v>573</v>
      </c>
      <c r="E21" s="157">
        <v>1335</v>
      </c>
      <c r="F21" s="157">
        <v>0</v>
      </c>
      <c r="G21" s="158">
        <v>2</v>
      </c>
      <c r="H21" s="158">
        <v>0</v>
      </c>
      <c r="I21" s="156">
        <v>450</v>
      </c>
    </row>
    <row r="22" spans="1:9" s="17" customFormat="1" ht="15" x14ac:dyDescent="0.25">
      <c r="A22" s="3" t="s">
        <v>64</v>
      </c>
      <c r="B22" s="58">
        <v>63</v>
      </c>
      <c r="C22" s="58">
        <v>65</v>
      </c>
      <c r="D22" s="58">
        <v>138</v>
      </c>
      <c r="E22" s="67">
        <v>266</v>
      </c>
      <c r="F22" s="67">
        <v>0</v>
      </c>
      <c r="G22" s="68">
        <v>0</v>
      </c>
      <c r="H22" s="68">
        <v>0</v>
      </c>
      <c r="I22" s="58">
        <v>40</v>
      </c>
    </row>
    <row r="23" spans="1:9" s="17" customFormat="1" ht="15" x14ac:dyDescent="0.25">
      <c r="A23" s="154" t="s">
        <v>65</v>
      </c>
      <c r="B23" s="156">
        <v>197</v>
      </c>
      <c r="C23" s="156">
        <v>201</v>
      </c>
      <c r="D23" s="156">
        <v>307</v>
      </c>
      <c r="E23" s="157">
        <v>705</v>
      </c>
      <c r="F23" s="157">
        <v>0</v>
      </c>
      <c r="G23" s="158">
        <v>0</v>
      </c>
      <c r="H23" s="158">
        <v>0</v>
      </c>
      <c r="I23" s="156">
        <v>109</v>
      </c>
    </row>
    <row r="24" spans="1:9" s="17" customFormat="1" ht="15" x14ac:dyDescent="0.25">
      <c r="A24" s="3" t="s">
        <v>66</v>
      </c>
      <c r="B24" s="58">
        <v>0</v>
      </c>
      <c r="C24" s="58">
        <v>0</v>
      </c>
      <c r="D24" s="58">
        <v>0</v>
      </c>
      <c r="E24" s="67">
        <v>0</v>
      </c>
      <c r="F24" s="67">
        <v>0</v>
      </c>
      <c r="G24" s="68">
        <v>0</v>
      </c>
      <c r="H24" s="68">
        <v>0</v>
      </c>
      <c r="I24" s="58">
        <v>0</v>
      </c>
    </row>
    <row r="25" spans="1:9" s="17" customFormat="1" ht="15" x14ac:dyDescent="0.25">
      <c r="A25" s="154" t="s">
        <v>67</v>
      </c>
      <c r="B25" s="156">
        <v>15</v>
      </c>
      <c r="C25" s="156">
        <v>8</v>
      </c>
      <c r="D25" s="156">
        <v>36</v>
      </c>
      <c r="E25" s="157">
        <v>59</v>
      </c>
      <c r="F25" s="157">
        <v>0</v>
      </c>
      <c r="G25" s="158">
        <v>0</v>
      </c>
      <c r="H25" s="158">
        <v>0</v>
      </c>
      <c r="I25" s="156">
        <v>0</v>
      </c>
    </row>
    <row r="26" spans="1:9" s="17" customFormat="1" ht="15" x14ac:dyDescent="0.25">
      <c r="A26" s="3" t="s">
        <v>68</v>
      </c>
      <c r="B26" s="58">
        <v>6</v>
      </c>
      <c r="C26" s="58">
        <v>2</v>
      </c>
      <c r="D26" s="58">
        <v>8</v>
      </c>
      <c r="E26" s="67">
        <v>16</v>
      </c>
      <c r="F26" s="67">
        <v>0</v>
      </c>
      <c r="G26" s="68">
        <v>0</v>
      </c>
      <c r="H26" s="68">
        <v>0</v>
      </c>
      <c r="I26" s="58">
        <v>1</v>
      </c>
    </row>
    <row r="27" spans="1:9" s="17" customFormat="1" ht="15" x14ac:dyDescent="0.25">
      <c r="A27" s="154" t="s">
        <v>69</v>
      </c>
      <c r="B27" s="156">
        <v>150</v>
      </c>
      <c r="C27" s="156">
        <v>97</v>
      </c>
      <c r="D27" s="156">
        <v>186</v>
      </c>
      <c r="E27" s="157">
        <v>433</v>
      </c>
      <c r="F27" s="157">
        <v>0</v>
      </c>
      <c r="G27" s="158">
        <v>0</v>
      </c>
      <c r="H27" s="158">
        <v>0</v>
      </c>
      <c r="I27" s="156">
        <v>88</v>
      </c>
    </row>
    <row r="28" spans="1:9" s="17" customFormat="1" ht="15" x14ac:dyDescent="0.25">
      <c r="A28" s="3" t="s">
        <v>70</v>
      </c>
      <c r="B28" s="58">
        <v>53</v>
      </c>
      <c r="C28" s="58">
        <v>15</v>
      </c>
      <c r="D28" s="58">
        <v>63</v>
      </c>
      <c r="E28" s="67">
        <v>131</v>
      </c>
      <c r="F28" s="67">
        <v>1</v>
      </c>
      <c r="G28" s="68">
        <v>0</v>
      </c>
      <c r="H28" s="68">
        <v>0</v>
      </c>
      <c r="I28" s="58">
        <v>32</v>
      </c>
    </row>
    <row r="29" spans="1:9" s="17" customFormat="1" ht="15" x14ac:dyDescent="0.25">
      <c r="A29" s="154" t="s">
        <v>71</v>
      </c>
      <c r="B29" s="156">
        <v>4</v>
      </c>
      <c r="C29" s="156">
        <v>8</v>
      </c>
      <c r="D29" s="156">
        <v>17</v>
      </c>
      <c r="E29" s="157">
        <v>29</v>
      </c>
      <c r="F29" s="157">
        <v>0</v>
      </c>
      <c r="G29" s="158">
        <v>0</v>
      </c>
      <c r="H29" s="158">
        <v>0</v>
      </c>
      <c r="I29" s="156">
        <v>0</v>
      </c>
    </row>
    <row r="30" spans="1:9" s="17" customFormat="1" ht="15" x14ac:dyDescent="0.25">
      <c r="A30" s="3" t="s">
        <v>72</v>
      </c>
      <c r="B30" s="58">
        <v>0</v>
      </c>
      <c r="C30" s="58">
        <v>0</v>
      </c>
      <c r="D30" s="58">
        <v>0</v>
      </c>
      <c r="E30" s="67">
        <v>0</v>
      </c>
      <c r="F30" s="67">
        <v>0</v>
      </c>
      <c r="G30" s="68">
        <v>0</v>
      </c>
      <c r="H30" s="68">
        <v>0</v>
      </c>
      <c r="I30" s="58">
        <v>0</v>
      </c>
    </row>
    <row r="31" spans="1:9" s="17" customFormat="1" ht="15" x14ac:dyDescent="0.25">
      <c r="A31" s="154" t="s">
        <v>73</v>
      </c>
      <c r="B31" s="156">
        <v>1</v>
      </c>
      <c r="C31" s="156">
        <v>0</v>
      </c>
      <c r="D31" s="156">
        <v>0</v>
      </c>
      <c r="E31" s="157">
        <v>1</v>
      </c>
      <c r="F31" s="157">
        <v>0</v>
      </c>
      <c r="G31" s="158">
        <v>0</v>
      </c>
      <c r="H31" s="158">
        <v>0</v>
      </c>
      <c r="I31" s="156">
        <v>0</v>
      </c>
    </row>
    <row r="32" spans="1:9" s="17" customFormat="1" ht="15" x14ac:dyDescent="0.25">
      <c r="A32" s="3" t="s">
        <v>74</v>
      </c>
      <c r="B32" s="58">
        <v>43</v>
      </c>
      <c r="C32" s="58">
        <v>74</v>
      </c>
      <c r="D32" s="58">
        <v>133</v>
      </c>
      <c r="E32" s="67">
        <v>250</v>
      </c>
      <c r="F32" s="67">
        <v>0</v>
      </c>
      <c r="G32" s="68">
        <v>0</v>
      </c>
      <c r="H32" s="68">
        <v>0</v>
      </c>
      <c r="I32" s="58">
        <v>19</v>
      </c>
    </row>
    <row r="33" spans="1:9" s="17" customFormat="1" ht="15" x14ac:dyDescent="0.25">
      <c r="A33" s="154" t="s">
        <v>75</v>
      </c>
      <c r="B33" s="156">
        <v>59</v>
      </c>
      <c r="C33" s="156">
        <v>88</v>
      </c>
      <c r="D33" s="156">
        <v>146</v>
      </c>
      <c r="E33" s="157">
        <v>293</v>
      </c>
      <c r="F33" s="157">
        <v>0</v>
      </c>
      <c r="G33" s="158">
        <v>0</v>
      </c>
      <c r="H33" s="158">
        <v>0</v>
      </c>
      <c r="I33" s="156">
        <v>28</v>
      </c>
    </row>
    <row r="34" spans="1:9" s="17" customFormat="1" ht="15" x14ac:dyDescent="0.25">
      <c r="A34" s="3" t="s">
        <v>76</v>
      </c>
      <c r="B34" s="58">
        <v>2</v>
      </c>
      <c r="C34" s="58">
        <v>0</v>
      </c>
      <c r="D34" s="58">
        <v>0</v>
      </c>
      <c r="E34" s="67">
        <v>2</v>
      </c>
      <c r="F34" s="67">
        <v>0</v>
      </c>
      <c r="G34" s="68">
        <v>0</v>
      </c>
      <c r="H34" s="68">
        <v>0</v>
      </c>
      <c r="I34" s="58">
        <v>0</v>
      </c>
    </row>
    <row r="35" spans="1:9" s="17" customFormat="1" ht="15" x14ac:dyDescent="0.25">
      <c r="A35" s="154" t="s">
        <v>173</v>
      </c>
      <c r="B35" s="156">
        <v>58</v>
      </c>
      <c r="C35" s="156">
        <v>90</v>
      </c>
      <c r="D35" s="156">
        <v>119</v>
      </c>
      <c r="E35" s="157">
        <v>267</v>
      </c>
      <c r="F35" s="157">
        <v>0</v>
      </c>
      <c r="G35" s="158">
        <v>0</v>
      </c>
      <c r="H35" s="158">
        <v>0</v>
      </c>
      <c r="I35" s="156">
        <v>17</v>
      </c>
    </row>
    <row r="36" spans="1:9" s="17" customFormat="1" ht="15" x14ac:dyDescent="0.25">
      <c r="A36" s="3" t="s">
        <v>77</v>
      </c>
      <c r="B36" s="58">
        <v>7</v>
      </c>
      <c r="C36" s="58">
        <v>17</v>
      </c>
      <c r="D36" s="58">
        <v>31</v>
      </c>
      <c r="E36" s="67">
        <v>55</v>
      </c>
      <c r="F36" s="67">
        <v>0</v>
      </c>
      <c r="G36" s="68">
        <v>1</v>
      </c>
      <c r="H36" s="68">
        <v>1</v>
      </c>
      <c r="I36" s="58">
        <v>13</v>
      </c>
    </row>
    <row r="37" spans="1:9" s="17" customFormat="1" ht="15" x14ac:dyDescent="0.25">
      <c r="A37" s="154" t="s">
        <v>78</v>
      </c>
      <c r="B37" s="156">
        <v>314</v>
      </c>
      <c r="C37" s="156">
        <v>254</v>
      </c>
      <c r="D37" s="156">
        <v>518</v>
      </c>
      <c r="E37" s="157">
        <v>1086</v>
      </c>
      <c r="F37" s="157">
        <v>0</v>
      </c>
      <c r="G37" s="158">
        <v>7</v>
      </c>
      <c r="H37" s="158">
        <v>0</v>
      </c>
      <c r="I37" s="156">
        <v>491</v>
      </c>
    </row>
    <row r="38" spans="1:9" s="17" customFormat="1" ht="15" x14ac:dyDescent="0.25">
      <c r="A38" s="3" t="s">
        <v>79</v>
      </c>
      <c r="B38" s="58">
        <v>0</v>
      </c>
      <c r="C38" s="58">
        <v>0</v>
      </c>
      <c r="D38" s="58">
        <v>0</v>
      </c>
      <c r="E38" s="67">
        <v>0</v>
      </c>
      <c r="F38" s="67">
        <v>0</v>
      </c>
      <c r="G38" s="68">
        <v>0</v>
      </c>
      <c r="H38" s="68">
        <v>0</v>
      </c>
      <c r="I38" s="58">
        <v>0</v>
      </c>
    </row>
    <row r="39" spans="1:9" s="17" customFormat="1" ht="15" x14ac:dyDescent="0.25">
      <c r="A39" s="154" t="s">
        <v>123</v>
      </c>
      <c r="B39" s="156">
        <v>191</v>
      </c>
      <c r="C39" s="156">
        <v>208</v>
      </c>
      <c r="D39" s="156">
        <v>262</v>
      </c>
      <c r="E39" s="157">
        <v>661</v>
      </c>
      <c r="F39" s="157">
        <v>0</v>
      </c>
      <c r="G39" s="158">
        <v>0</v>
      </c>
      <c r="H39" s="158">
        <v>0</v>
      </c>
      <c r="I39" s="156">
        <v>230</v>
      </c>
    </row>
    <row r="40" spans="1:9" s="17" customFormat="1" ht="15" x14ac:dyDescent="0.25">
      <c r="A40" s="3" t="s">
        <v>80</v>
      </c>
      <c r="B40" s="58">
        <v>7</v>
      </c>
      <c r="C40" s="58">
        <v>9</v>
      </c>
      <c r="D40" s="58">
        <v>8</v>
      </c>
      <c r="E40" s="67">
        <v>24</v>
      </c>
      <c r="F40" s="67">
        <v>0</v>
      </c>
      <c r="G40" s="68">
        <v>0</v>
      </c>
      <c r="H40" s="68">
        <v>0</v>
      </c>
      <c r="I40" s="58">
        <v>1</v>
      </c>
    </row>
    <row r="41" spans="1:9" s="17" customFormat="1" ht="15" x14ac:dyDescent="0.25">
      <c r="A41" s="154" t="s">
        <v>81</v>
      </c>
      <c r="B41" s="156">
        <v>4</v>
      </c>
      <c r="C41" s="156">
        <v>1</v>
      </c>
      <c r="D41" s="156">
        <v>0</v>
      </c>
      <c r="E41" s="157">
        <v>5</v>
      </c>
      <c r="F41" s="157">
        <v>0</v>
      </c>
      <c r="G41" s="158">
        <v>0</v>
      </c>
      <c r="H41" s="158">
        <v>0</v>
      </c>
      <c r="I41" s="156">
        <v>0</v>
      </c>
    </row>
    <row r="42" spans="1:9" s="17" customFormat="1" ht="15" x14ac:dyDescent="0.25">
      <c r="A42" s="3" t="s">
        <v>82</v>
      </c>
      <c r="B42" s="58">
        <v>190</v>
      </c>
      <c r="C42" s="58">
        <v>155</v>
      </c>
      <c r="D42" s="58">
        <v>390</v>
      </c>
      <c r="E42" s="67">
        <v>735</v>
      </c>
      <c r="F42" s="67">
        <v>1</v>
      </c>
      <c r="G42" s="68">
        <v>0</v>
      </c>
      <c r="H42" s="68">
        <v>0</v>
      </c>
      <c r="I42" s="58">
        <v>220</v>
      </c>
    </row>
    <row r="43" spans="1:9" s="17" customFormat="1" ht="15" x14ac:dyDescent="0.25">
      <c r="A43" s="154" t="s">
        <v>83</v>
      </c>
      <c r="B43" s="156">
        <v>0</v>
      </c>
      <c r="C43" s="156">
        <v>0</v>
      </c>
      <c r="D43" s="156">
        <v>0</v>
      </c>
      <c r="E43" s="157">
        <v>0</v>
      </c>
      <c r="F43" s="157">
        <v>0</v>
      </c>
      <c r="G43" s="158">
        <v>0</v>
      </c>
      <c r="H43" s="158">
        <v>0</v>
      </c>
      <c r="I43" s="156">
        <v>0</v>
      </c>
    </row>
    <row r="44" spans="1:9" s="17" customFormat="1" ht="15" x14ac:dyDescent="0.25">
      <c r="A44" s="3" t="s">
        <v>84</v>
      </c>
      <c r="B44" s="58">
        <v>0</v>
      </c>
      <c r="C44" s="58">
        <v>0</v>
      </c>
      <c r="D44" s="58">
        <v>0</v>
      </c>
      <c r="E44" s="67">
        <v>0</v>
      </c>
      <c r="F44" s="67">
        <v>0</v>
      </c>
      <c r="G44" s="68">
        <v>0</v>
      </c>
      <c r="H44" s="68">
        <v>0</v>
      </c>
      <c r="I44" s="58">
        <v>0</v>
      </c>
    </row>
    <row r="45" spans="1:9" s="17" customFormat="1" ht="15" x14ac:dyDescent="0.25">
      <c r="A45" s="154" t="s">
        <v>85</v>
      </c>
      <c r="B45" s="156">
        <v>0</v>
      </c>
      <c r="C45" s="156">
        <v>1</v>
      </c>
      <c r="D45" s="156">
        <v>1</v>
      </c>
      <c r="E45" s="157">
        <v>2</v>
      </c>
      <c r="F45" s="157">
        <v>0</v>
      </c>
      <c r="G45" s="158">
        <v>0</v>
      </c>
      <c r="H45" s="158">
        <v>0</v>
      </c>
      <c r="I45" s="156">
        <v>0</v>
      </c>
    </row>
    <row r="46" spans="1:9" s="17" customFormat="1" ht="15" x14ac:dyDescent="0.25">
      <c r="A46" s="3" t="s">
        <v>86</v>
      </c>
      <c r="B46" s="58">
        <v>146</v>
      </c>
      <c r="C46" s="58">
        <v>82</v>
      </c>
      <c r="D46" s="58">
        <v>145</v>
      </c>
      <c r="E46" s="67">
        <v>373</v>
      </c>
      <c r="F46" s="67">
        <v>0</v>
      </c>
      <c r="G46" s="68">
        <v>0</v>
      </c>
      <c r="H46" s="68">
        <v>0</v>
      </c>
      <c r="I46" s="58">
        <v>102</v>
      </c>
    </row>
    <row r="47" spans="1:9" s="17" customFormat="1" ht="15" x14ac:dyDescent="0.25">
      <c r="A47" s="154" t="s">
        <v>87</v>
      </c>
      <c r="B47" s="156">
        <v>84</v>
      </c>
      <c r="C47" s="156">
        <v>64</v>
      </c>
      <c r="D47" s="156">
        <v>121</v>
      </c>
      <c r="E47" s="157">
        <v>269</v>
      </c>
      <c r="F47" s="157">
        <v>0</v>
      </c>
      <c r="G47" s="158">
        <v>0</v>
      </c>
      <c r="H47" s="158">
        <v>0</v>
      </c>
      <c r="I47" s="156">
        <v>32</v>
      </c>
    </row>
    <row r="48" spans="1:9" s="217" customFormat="1" ht="15" x14ac:dyDescent="0.25">
      <c r="A48" s="85" t="s">
        <v>258</v>
      </c>
      <c r="B48" s="205">
        <v>5</v>
      </c>
      <c r="C48" s="205">
        <v>3</v>
      </c>
      <c r="D48" s="205">
        <v>5</v>
      </c>
      <c r="E48" s="171">
        <v>13</v>
      </c>
      <c r="F48" s="171">
        <v>0</v>
      </c>
      <c r="G48" s="170">
        <v>0</v>
      </c>
      <c r="H48" s="170">
        <v>0</v>
      </c>
      <c r="I48" s="205">
        <v>1</v>
      </c>
    </row>
    <row r="49" spans="1:9" s="217" customFormat="1" ht="15" x14ac:dyDescent="0.25">
      <c r="A49" s="154" t="s">
        <v>105</v>
      </c>
      <c r="B49" s="156">
        <v>0</v>
      </c>
      <c r="C49" s="156">
        <v>0</v>
      </c>
      <c r="D49" s="156">
        <v>1</v>
      </c>
      <c r="E49" s="157">
        <v>1</v>
      </c>
      <c r="F49" s="157">
        <v>0</v>
      </c>
      <c r="G49" s="158">
        <v>0</v>
      </c>
      <c r="H49" s="158">
        <v>0</v>
      </c>
      <c r="I49" s="156">
        <v>0</v>
      </c>
    </row>
    <row r="50" spans="1:9" s="217" customFormat="1" ht="15" x14ac:dyDescent="0.25">
      <c r="A50" s="85" t="s">
        <v>88</v>
      </c>
      <c r="B50" s="205">
        <v>2</v>
      </c>
      <c r="C50" s="205">
        <v>0</v>
      </c>
      <c r="D50" s="205">
        <v>2</v>
      </c>
      <c r="E50" s="171">
        <v>4</v>
      </c>
      <c r="F50" s="171">
        <v>0</v>
      </c>
      <c r="G50" s="170">
        <v>0</v>
      </c>
      <c r="H50" s="170">
        <v>0</v>
      </c>
      <c r="I50" s="205">
        <v>0</v>
      </c>
    </row>
    <row r="51" spans="1:9" s="217" customFormat="1" ht="15" x14ac:dyDescent="0.25">
      <c r="A51" s="154" t="s">
        <v>89</v>
      </c>
      <c r="B51" s="156">
        <v>30</v>
      </c>
      <c r="C51" s="156">
        <v>56</v>
      </c>
      <c r="D51" s="156">
        <v>80</v>
      </c>
      <c r="E51" s="157">
        <v>166</v>
      </c>
      <c r="F51" s="157">
        <v>0</v>
      </c>
      <c r="G51" s="158">
        <v>0</v>
      </c>
      <c r="H51" s="158">
        <v>0</v>
      </c>
      <c r="I51" s="156">
        <v>5</v>
      </c>
    </row>
    <row r="52" spans="1:9" s="217" customFormat="1" ht="15" x14ac:dyDescent="0.25">
      <c r="A52" s="85" t="s">
        <v>90</v>
      </c>
      <c r="B52" s="205">
        <v>103</v>
      </c>
      <c r="C52" s="205">
        <v>157</v>
      </c>
      <c r="D52" s="205">
        <v>243</v>
      </c>
      <c r="E52" s="171">
        <v>503</v>
      </c>
      <c r="F52" s="171">
        <v>1</v>
      </c>
      <c r="G52" s="170">
        <v>0</v>
      </c>
      <c r="H52" s="170">
        <v>0</v>
      </c>
      <c r="I52" s="205">
        <v>73</v>
      </c>
    </row>
    <row r="53" spans="1:9" s="217" customFormat="1" ht="15" x14ac:dyDescent="0.25">
      <c r="A53" s="154" t="s">
        <v>106</v>
      </c>
      <c r="B53" s="156">
        <v>0</v>
      </c>
      <c r="C53" s="156">
        <v>0</v>
      </c>
      <c r="D53" s="156">
        <v>0</v>
      </c>
      <c r="E53" s="157">
        <v>0</v>
      </c>
      <c r="F53" s="157">
        <v>0</v>
      </c>
      <c r="G53" s="158">
        <v>0</v>
      </c>
      <c r="H53" s="158">
        <v>0</v>
      </c>
      <c r="I53" s="156">
        <v>0</v>
      </c>
    </row>
    <row r="54" spans="1:9" s="217" customFormat="1" ht="15" x14ac:dyDescent="0.25">
      <c r="A54" s="85" t="s">
        <v>91</v>
      </c>
      <c r="B54" s="205">
        <v>382</v>
      </c>
      <c r="C54" s="205">
        <v>399</v>
      </c>
      <c r="D54" s="205">
        <v>567</v>
      </c>
      <c r="E54" s="171">
        <v>1348</v>
      </c>
      <c r="F54" s="171">
        <v>0</v>
      </c>
      <c r="G54" s="170">
        <v>0</v>
      </c>
      <c r="H54" s="170">
        <v>0</v>
      </c>
      <c r="I54" s="205">
        <v>580</v>
      </c>
    </row>
    <row r="55" spans="1:9" s="217" customFormat="1" ht="15" x14ac:dyDescent="0.25">
      <c r="A55" s="154" t="s">
        <v>92</v>
      </c>
      <c r="B55" s="156">
        <v>312</v>
      </c>
      <c r="C55" s="156">
        <v>330</v>
      </c>
      <c r="D55" s="156">
        <v>437</v>
      </c>
      <c r="E55" s="157">
        <v>1079</v>
      </c>
      <c r="F55" s="157">
        <v>1</v>
      </c>
      <c r="G55" s="158">
        <v>2</v>
      </c>
      <c r="H55" s="158">
        <v>0</v>
      </c>
      <c r="I55" s="156">
        <v>186</v>
      </c>
    </row>
    <row r="56" spans="1:9" s="217" customFormat="1" ht="15" x14ac:dyDescent="0.25">
      <c r="A56" s="85" t="s">
        <v>93</v>
      </c>
      <c r="B56" s="205">
        <v>34</v>
      </c>
      <c r="C56" s="205">
        <v>19</v>
      </c>
      <c r="D56" s="205">
        <v>83</v>
      </c>
      <c r="E56" s="171">
        <v>136</v>
      </c>
      <c r="F56" s="171">
        <v>0</v>
      </c>
      <c r="G56" s="170">
        <v>0</v>
      </c>
      <c r="H56" s="170">
        <v>0</v>
      </c>
      <c r="I56" s="205">
        <v>23</v>
      </c>
    </row>
    <row r="57" spans="1:9" s="217" customFormat="1" ht="15" x14ac:dyDescent="0.25">
      <c r="A57" s="154" t="s">
        <v>94</v>
      </c>
      <c r="B57" s="156">
        <v>1</v>
      </c>
      <c r="C57" s="156">
        <v>1</v>
      </c>
      <c r="D57" s="156">
        <v>7</v>
      </c>
      <c r="E57" s="157">
        <v>9</v>
      </c>
      <c r="F57" s="157">
        <v>0</v>
      </c>
      <c r="G57" s="158">
        <v>0</v>
      </c>
      <c r="H57" s="158">
        <v>0</v>
      </c>
      <c r="I57" s="156">
        <v>0</v>
      </c>
    </row>
    <row r="58" spans="1:9" s="217" customFormat="1" ht="15" x14ac:dyDescent="0.25">
      <c r="A58" s="3"/>
      <c r="B58" s="58"/>
      <c r="C58" s="58"/>
      <c r="D58" s="58"/>
      <c r="E58" s="67"/>
      <c r="F58" s="68"/>
      <c r="G58" s="68"/>
      <c r="H58" s="68"/>
      <c r="I58" s="58"/>
    </row>
    <row r="59" spans="1:9" s="217" customFormat="1" ht="15.75" thickBot="1" x14ac:dyDescent="0.3">
      <c r="A59" s="111" t="s">
        <v>223</v>
      </c>
      <c r="B59" s="112">
        <v>3331</v>
      </c>
      <c r="C59" s="112">
        <v>3401</v>
      </c>
      <c r="D59" s="112">
        <v>5330</v>
      </c>
      <c r="E59" s="113">
        <v>12062</v>
      </c>
      <c r="F59" s="114">
        <v>16</v>
      </c>
      <c r="G59" s="114">
        <v>16</v>
      </c>
      <c r="H59" s="114">
        <v>1</v>
      </c>
      <c r="I59" s="112">
        <v>3043</v>
      </c>
    </row>
    <row r="60" spans="1:9" s="217" customFormat="1" ht="12.75" customHeight="1" x14ac:dyDescent="0.25">
      <c r="A60" s="5"/>
      <c r="B60" s="5"/>
      <c r="C60" s="5"/>
      <c r="D60" s="5"/>
      <c r="E60" s="5"/>
      <c r="F60" s="5"/>
      <c r="G60" s="5"/>
      <c r="H60" s="41"/>
      <c r="I60" s="42" t="s">
        <v>207</v>
      </c>
    </row>
    <row r="61" spans="1:9" s="164" customFormat="1" x14ac:dyDescent="0.2">
      <c r="A61" s="5"/>
      <c r="B61" s="5"/>
      <c r="C61" s="5"/>
      <c r="D61" s="5"/>
      <c r="E61" s="5"/>
      <c r="F61" s="5"/>
      <c r="G61" s="5"/>
      <c r="H61" s="5"/>
      <c r="I61" s="5"/>
    </row>
    <row r="62" spans="1:9" s="164" customFormat="1" x14ac:dyDescent="0.2">
      <c r="A62" s="5"/>
      <c r="B62" s="5"/>
      <c r="C62" s="5"/>
      <c r="D62" s="5"/>
      <c r="E62" s="5"/>
      <c r="F62" s="5"/>
      <c r="G62" s="5"/>
      <c r="H62" s="5"/>
      <c r="I62" s="5"/>
    </row>
    <row r="63" spans="1:9" s="164" customFormat="1" x14ac:dyDescent="0.2">
      <c r="A63" s="5"/>
      <c r="B63" s="5"/>
      <c r="C63" s="5"/>
      <c r="D63" s="5"/>
      <c r="E63" s="5"/>
      <c r="F63" s="5"/>
      <c r="G63" s="5"/>
      <c r="H63" s="5"/>
      <c r="I63" s="5"/>
    </row>
    <row r="64" spans="1:9" s="164" customFormat="1" x14ac:dyDescent="0.2">
      <c r="A64" s="5"/>
      <c r="B64" s="5"/>
      <c r="C64" s="5"/>
      <c r="D64" s="5"/>
      <c r="E64" s="6"/>
      <c r="F64" s="223">
        <f>F59/E59*100</f>
        <v>0.13264798540872161</v>
      </c>
      <c r="G64" s="5" t="s">
        <v>191</v>
      </c>
      <c r="H64" s="5"/>
      <c r="I64" s="5"/>
    </row>
  </sheetData>
  <mergeCells count="2">
    <mergeCell ref="F3:H3"/>
    <mergeCell ref="B3:D3"/>
  </mergeCells>
  <phoneticPr fontId="0" type="noConversion"/>
  <pageMargins left="0.75" right="0.75" top="1" bottom="1" header="0.5" footer="0.5"/>
  <pageSetup paperSize="9" scale="81"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6"/>
  <sheetViews>
    <sheetView showGridLines="0" workbookViewId="0">
      <selection activeCell="L18" sqref="L18"/>
    </sheetView>
  </sheetViews>
  <sheetFormatPr defaultRowHeight="12.75" x14ac:dyDescent="0.2"/>
  <cols>
    <col min="1" max="1" width="14.42578125" style="5" customWidth="1"/>
    <col min="2" max="4" width="11.140625" style="5" customWidth="1"/>
    <col min="5" max="10" width="10.7109375" style="5" customWidth="1"/>
    <col min="11" max="16384" width="9.140625" style="164"/>
  </cols>
  <sheetData>
    <row r="1" spans="1:12" s="127" customFormat="1" ht="15" customHeight="1" x14ac:dyDescent="0.25">
      <c r="A1" s="130" t="s">
        <v>395</v>
      </c>
      <c r="B1" s="132"/>
      <c r="C1" s="132"/>
      <c r="D1" s="132"/>
      <c r="E1" s="134"/>
      <c r="F1" s="134"/>
      <c r="G1" s="135"/>
      <c r="H1" s="135"/>
      <c r="I1" s="135"/>
      <c r="J1" s="135"/>
    </row>
    <row r="2" spans="1:12" s="4" customFormat="1" ht="15.75" customHeight="1" thickBot="1" x14ac:dyDescent="0.3">
      <c r="A2" s="35" t="s">
        <v>181</v>
      </c>
      <c r="B2" s="36"/>
      <c r="C2" s="36"/>
      <c r="D2" s="37"/>
      <c r="E2" s="38"/>
      <c r="F2" s="38"/>
      <c r="G2" s="39"/>
      <c r="H2" s="39"/>
      <c r="I2" s="39"/>
      <c r="J2" s="39"/>
    </row>
    <row r="3" spans="1:12" s="5" customFormat="1" ht="25.5" x14ac:dyDescent="0.2">
      <c r="A3" s="174"/>
      <c r="B3" s="407" t="s">
        <v>112</v>
      </c>
      <c r="C3" s="407"/>
      <c r="D3" s="407"/>
      <c r="E3" s="175" t="s">
        <v>219</v>
      </c>
      <c r="F3" s="408" t="s">
        <v>107</v>
      </c>
      <c r="G3" s="409"/>
      <c r="H3" s="409"/>
      <c r="I3" s="410"/>
      <c r="J3" s="142" t="s">
        <v>108</v>
      </c>
    </row>
    <row r="4" spans="1:12" s="5" customFormat="1" ht="15" customHeight="1" x14ac:dyDescent="0.2">
      <c r="A4" s="174"/>
      <c r="B4" s="406"/>
      <c r="C4" s="406"/>
      <c r="D4" s="406"/>
      <c r="E4" s="175"/>
      <c r="F4" s="69" t="s">
        <v>172</v>
      </c>
      <c r="G4" s="69" t="s">
        <v>110</v>
      </c>
      <c r="H4" s="69" t="s">
        <v>111</v>
      </c>
      <c r="I4" s="70" t="s">
        <v>94</v>
      </c>
      <c r="J4" s="174"/>
    </row>
    <row r="5" spans="1:12" s="5" customFormat="1" ht="16.5" customHeight="1" x14ac:dyDescent="0.2">
      <c r="A5" s="66" t="s">
        <v>95</v>
      </c>
      <c r="B5" s="61" t="s">
        <v>390</v>
      </c>
      <c r="C5" s="61" t="s">
        <v>391</v>
      </c>
      <c r="D5" s="61" t="s">
        <v>392</v>
      </c>
      <c r="E5" s="198" t="s">
        <v>388</v>
      </c>
      <c r="F5" s="176"/>
      <c r="G5" s="176"/>
      <c r="H5" s="176"/>
      <c r="I5" s="177"/>
      <c r="J5" s="71"/>
      <c r="K5" s="7"/>
      <c r="L5" s="6"/>
    </row>
    <row r="6" spans="1:12" ht="15" customHeight="1" x14ac:dyDescent="0.2">
      <c r="A6" s="85" t="s">
        <v>50</v>
      </c>
      <c r="B6" s="153">
        <v>4</v>
      </c>
      <c r="C6" s="153">
        <v>6</v>
      </c>
      <c r="D6" s="153">
        <v>9</v>
      </c>
      <c r="E6" s="161">
        <v>19</v>
      </c>
      <c r="F6" s="161">
        <v>18</v>
      </c>
      <c r="G6" s="161">
        <v>1</v>
      </c>
      <c r="H6" s="161">
        <v>0</v>
      </c>
      <c r="I6" s="161">
        <v>0</v>
      </c>
      <c r="J6" s="162">
        <v>1</v>
      </c>
      <c r="K6" s="163"/>
    </row>
    <row r="7" spans="1:12" ht="15" customHeight="1" x14ac:dyDescent="0.2">
      <c r="A7" s="154" t="s">
        <v>51</v>
      </c>
      <c r="B7" s="155">
        <v>184</v>
      </c>
      <c r="C7" s="155">
        <v>208</v>
      </c>
      <c r="D7" s="155">
        <v>212</v>
      </c>
      <c r="E7" s="159">
        <v>604</v>
      </c>
      <c r="F7" s="159">
        <v>595</v>
      </c>
      <c r="G7" s="159">
        <v>5</v>
      </c>
      <c r="H7" s="159">
        <v>0</v>
      </c>
      <c r="I7" s="159">
        <v>1</v>
      </c>
      <c r="J7" s="160">
        <v>12</v>
      </c>
      <c r="K7" s="163"/>
    </row>
    <row r="8" spans="1:12" ht="15" customHeight="1" x14ac:dyDescent="0.2">
      <c r="A8" s="85" t="s">
        <v>102</v>
      </c>
      <c r="B8" s="153">
        <v>4</v>
      </c>
      <c r="C8" s="153">
        <v>6</v>
      </c>
      <c r="D8" s="153">
        <v>0</v>
      </c>
      <c r="E8" s="161">
        <v>10</v>
      </c>
      <c r="F8" s="161">
        <v>10</v>
      </c>
      <c r="G8" s="161">
        <v>0</v>
      </c>
      <c r="H8" s="161">
        <v>0</v>
      </c>
      <c r="I8" s="161">
        <v>0</v>
      </c>
      <c r="J8" s="162">
        <v>7</v>
      </c>
      <c r="K8" s="163"/>
    </row>
    <row r="9" spans="1:12" ht="15" customHeight="1" x14ac:dyDescent="0.2">
      <c r="A9" s="154" t="s">
        <v>52</v>
      </c>
      <c r="B9" s="155">
        <v>124</v>
      </c>
      <c r="C9" s="155">
        <v>124</v>
      </c>
      <c r="D9" s="155">
        <v>129</v>
      </c>
      <c r="E9" s="159">
        <v>377</v>
      </c>
      <c r="F9" s="159">
        <v>370</v>
      </c>
      <c r="G9" s="159">
        <v>3</v>
      </c>
      <c r="H9" s="159">
        <v>1</v>
      </c>
      <c r="I9" s="159">
        <v>1</v>
      </c>
      <c r="J9" s="160">
        <v>3</v>
      </c>
      <c r="K9" s="163"/>
      <c r="L9" s="164" t="s">
        <v>180</v>
      </c>
    </row>
    <row r="10" spans="1:12" ht="15" customHeight="1" x14ac:dyDescent="0.2">
      <c r="A10" s="85" t="s">
        <v>103</v>
      </c>
      <c r="B10" s="153">
        <v>0</v>
      </c>
      <c r="C10" s="153">
        <v>1</v>
      </c>
      <c r="D10" s="153">
        <v>2</v>
      </c>
      <c r="E10" s="161">
        <v>3</v>
      </c>
      <c r="F10" s="161">
        <v>3</v>
      </c>
      <c r="G10" s="161">
        <v>0</v>
      </c>
      <c r="H10" s="161">
        <v>0</v>
      </c>
      <c r="I10" s="161">
        <v>0</v>
      </c>
      <c r="J10" s="162">
        <v>0</v>
      </c>
      <c r="K10" s="163"/>
    </row>
    <row r="11" spans="1:12" ht="15" customHeight="1" x14ac:dyDescent="0.2">
      <c r="A11" s="154" t="s">
        <v>257</v>
      </c>
      <c r="B11" s="155">
        <v>28</v>
      </c>
      <c r="C11" s="155">
        <v>19</v>
      </c>
      <c r="D11" s="155">
        <v>21</v>
      </c>
      <c r="E11" s="159">
        <v>68</v>
      </c>
      <c r="F11" s="159">
        <v>67</v>
      </c>
      <c r="G11" s="159">
        <v>0</v>
      </c>
      <c r="H11" s="159">
        <v>1</v>
      </c>
      <c r="I11" s="159">
        <v>0</v>
      </c>
      <c r="J11" s="160">
        <v>0</v>
      </c>
      <c r="K11" s="163"/>
    </row>
    <row r="12" spans="1:12" ht="15" customHeight="1" x14ac:dyDescent="0.2">
      <c r="A12" s="85" t="s">
        <v>56</v>
      </c>
      <c r="B12" s="153">
        <v>6</v>
      </c>
      <c r="C12" s="153">
        <v>9</v>
      </c>
      <c r="D12" s="153">
        <v>7</v>
      </c>
      <c r="E12" s="161">
        <v>22</v>
      </c>
      <c r="F12" s="161">
        <v>22</v>
      </c>
      <c r="G12" s="161">
        <v>0</v>
      </c>
      <c r="H12" s="161">
        <v>0</v>
      </c>
      <c r="I12" s="161">
        <v>0</v>
      </c>
      <c r="J12" s="162">
        <v>2</v>
      </c>
      <c r="K12" s="163"/>
    </row>
    <row r="13" spans="1:12" ht="15" customHeight="1" x14ac:dyDescent="0.2">
      <c r="A13" s="154" t="s">
        <v>57</v>
      </c>
      <c r="B13" s="155">
        <v>75</v>
      </c>
      <c r="C13" s="155">
        <v>72</v>
      </c>
      <c r="D13" s="155">
        <v>82</v>
      </c>
      <c r="E13" s="159">
        <v>229</v>
      </c>
      <c r="F13" s="159">
        <v>227</v>
      </c>
      <c r="G13" s="159">
        <v>1</v>
      </c>
      <c r="H13" s="159">
        <v>0</v>
      </c>
      <c r="I13" s="159">
        <v>0</v>
      </c>
      <c r="J13" s="160">
        <v>12</v>
      </c>
      <c r="K13" s="163"/>
    </row>
    <row r="14" spans="1:12" ht="15" customHeight="1" x14ac:dyDescent="0.2">
      <c r="A14" s="85" t="s">
        <v>58</v>
      </c>
      <c r="B14" s="153">
        <v>1</v>
      </c>
      <c r="C14" s="153">
        <v>1</v>
      </c>
      <c r="D14" s="153">
        <v>2</v>
      </c>
      <c r="E14" s="161">
        <v>4</v>
      </c>
      <c r="F14" s="161">
        <v>2</v>
      </c>
      <c r="G14" s="161">
        <v>2</v>
      </c>
      <c r="H14" s="161">
        <v>0</v>
      </c>
      <c r="I14" s="161">
        <v>0</v>
      </c>
      <c r="J14" s="162">
        <v>1</v>
      </c>
      <c r="K14" s="163"/>
    </row>
    <row r="15" spans="1:12" ht="15" customHeight="1" x14ac:dyDescent="0.2">
      <c r="A15" s="154" t="s">
        <v>59</v>
      </c>
      <c r="B15" s="155">
        <v>2</v>
      </c>
      <c r="C15" s="155">
        <v>5</v>
      </c>
      <c r="D15" s="155">
        <v>3</v>
      </c>
      <c r="E15" s="159">
        <v>10</v>
      </c>
      <c r="F15" s="159">
        <v>9</v>
      </c>
      <c r="G15" s="159">
        <v>1</v>
      </c>
      <c r="H15" s="159">
        <v>0</v>
      </c>
      <c r="I15" s="159">
        <v>0</v>
      </c>
      <c r="J15" s="160">
        <v>1</v>
      </c>
      <c r="K15" s="163"/>
    </row>
    <row r="16" spans="1:12" ht="15" customHeight="1" x14ac:dyDescent="0.2">
      <c r="A16" s="85" t="s">
        <v>60</v>
      </c>
      <c r="B16" s="153">
        <v>0</v>
      </c>
      <c r="C16" s="153">
        <v>0</v>
      </c>
      <c r="D16" s="153">
        <v>2</v>
      </c>
      <c r="E16" s="161">
        <v>2</v>
      </c>
      <c r="F16" s="161">
        <v>2</v>
      </c>
      <c r="G16" s="161">
        <v>0</v>
      </c>
      <c r="H16" s="161">
        <v>0</v>
      </c>
      <c r="I16" s="161">
        <v>0</v>
      </c>
      <c r="J16" s="162">
        <v>0</v>
      </c>
      <c r="K16" s="163"/>
    </row>
    <row r="17" spans="1:11" ht="15" customHeight="1" x14ac:dyDescent="0.2">
      <c r="A17" s="154" t="s">
        <v>128</v>
      </c>
      <c r="B17" s="155">
        <v>2</v>
      </c>
      <c r="C17" s="155">
        <v>1</v>
      </c>
      <c r="D17" s="155">
        <v>0</v>
      </c>
      <c r="E17" s="159">
        <v>3</v>
      </c>
      <c r="F17" s="159">
        <v>3</v>
      </c>
      <c r="G17" s="159">
        <v>0</v>
      </c>
      <c r="H17" s="159">
        <v>0</v>
      </c>
      <c r="I17" s="159">
        <v>0</v>
      </c>
      <c r="J17" s="160">
        <v>2</v>
      </c>
      <c r="K17" s="163"/>
    </row>
    <row r="18" spans="1:11" ht="15" customHeight="1" x14ac:dyDescent="0.2">
      <c r="A18" s="85" t="s">
        <v>104</v>
      </c>
      <c r="B18" s="153">
        <v>0</v>
      </c>
      <c r="C18" s="153">
        <v>0</v>
      </c>
      <c r="D18" s="153">
        <v>1</v>
      </c>
      <c r="E18" s="161">
        <v>1</v>
      </c>
      <c r="F18" s="161">
        <v>0</v>
      </c>
      <c r="G18" s="161">
        <v>0</v>
      </c>
      <c r="H18" s="161">
        <v>1</v>
      </c>
      <c r="I18" s="161">
        <v>0</v>
      </c>
      <c r="J18" s="162">
        <v>0</v>
      </c>
      <c r="K18" s="163"/>
    </row>
    <row r="19" spans="1:11" ht="15" customHeight="1" x14ac:dyDescent="0.2">
      <c r="A19" s="154" t="s">
        <v>61</v>
      </c>
      <c r="B19" s="155">
        <v>1</v>
      </c>
      <c r="C19" s="155">
        <v>0</v>
      </c>
      <c r="D19" s="155">
        <v>2</v>
      </c>
      <c r="E19" s="159">
        <v>3</v>
      </c>
      <c r="F19" s="159">
        <v>3</v>
      </c>
      <c r="G19" s="159">
        <v>0</v>
      </c>
      <c r="H19" s="159">
        <v>0</v>
      </c>
      <c r="I19" s="159">
        <v>0</v>
      </c>
      <c r="J19" s="160">
        <v>0</v>
      </c>
      <c r="K19" s="163"/>
    </row>
    <row r="20" spans="1:11" ht="15" customHeight="1" x14ac:dyDescent="0.2">
      <c r="A20" s="85" t="s">
        <v>62</v>
      </c>
      <c r="B20" s="153">
        <v>18</v>
      </c>
      <c r="C20" s="153">
        <v>39</v>
      </c>
      <c r="D20" s="153">
        <v>31</v>
      </c>
      <c r="E20" s="161">
        <v>88</v>
      </c>
      <c r="F20" s="161">
        <v>83</v>
      </c>
      <c r="G20" s="161">
        <v>3</v>
      </c>
      <c r="H20" s="161">
        <v>1</v>
      </c>
      <c r="I20" s="161">
        <v>0</v>
      </c>
      <c r="J20" s="162">
        <v>5</v>
      </c>
      <c r="K20" s="163"/>
    </row>
    <row r="21" spans="1:11" ht="15" customHeight="1" x14ac:dyDescent="0.2">
      <c r="A21" s="154" t="s">
        <v>63</v>
      </c>
      <c r="B21" s="155">
        <v>251</v>
      </c>
      <c r="C21" s="155">
        <v>313</v>
      </c>
      <c r="D21" s="155">
        <v>264</v>
      </c>
      <c r="E21" s="159">
        <v>828</v>
      </c>
      <c r="F21" s="159">
        <v>808</v>
      </c>
      <c r="G21" s="159">
        <v>8</v>
      </c>
      <c r="H21" s="159">
        <v>2</v>
      </c>
      <c r="I21" s="159">
        <v>10</v>
      </c>
      <c r="J21" s="160">
        <v>30</v>
      </c>
      <c r="K21" s="163"/>
    </row>
    <row r="22" spans="1:11" ht="15" customHeight="1" x14ac:dyDescent="0.2">
      <c r="A22" s="85" t="s">
        <v>64</v>
      </c>
      <c r="B22" s="153">
        <v>64</v>
      </c>
      <c r="C22" s="153">
        <v>96</v>
      </c>
      <c r="D22" s="153">
        <v>84</v>
      </c>
      <c r="E22" s="161">
        <v>244</v>
      </c>
      <c r="F22" s="161">
        <v>242</v>
      </c>
      <c r="G22" s="161">
        <v>1</v>
      </c>
      <c r="H22" s="161">
        <v>1</v>
      </c>
      <c r="I22" s="161">
        <v>0</v>
      </c>
      <c r="J22" s="162">
        <v>10</v>
      </c>
      <c r="K22" s="163"/>
    </row>
    <row r="23" spans="1:11" ht="15" customHeight="1" x14ac:dyDescent="0.2">
      <c r="A23" s="154" t="s">
        <v>65</v>
      </c>
      <c r="B23" s="155">
        <v>41</v>
      </c>
      <c r="C23" s="155">
        <v>47</v>
      </c>
      <c r="D23" s="155">
        <v>62</v>
      </c>
      <c r="E23" s="159">
        <v>150</v>
      </c>
      <c r="F23" s="159">
        <v>150</v>
      </c>
      <c r="G23" s="159">
        <v>0</v>
      </c>
      <c r="H23" s="159">
        <v>0</v>
      </c>
      <c r="I23" s="159">
        <v>0</v>
      </c>
      <c r="J23" s="160">
        <v>7</v>
      </c>
      <c r="K23" s="163"/>
    </row>
    <row r="24" spans="1:11" ht="15" customHeight="1" x14ac:dyDescent="0.2">
      <c r="A24" s="85" t="s">
        <v>66</v>
      </c>
      <c r="B24" s="153">
        <v>4</v>
      </c>
      <c r="C24" s="153">
        <v>4</v>
      </c>
      <c r="D24" s="153">
        <v>1</v>
      </c>
      <c r="E24" s="161">
        <v>9</v>
      </c>
      <c r="F24" s="161">
        <v>7</v>
      </c>
      <c r="G24" s="161">
        <v>1</v>
      </c>
      <c r="H24" s="161">
        <v>1</v>
      </c>
      <c r="I24" s="161">
        <v>0</v>
      </c>
      <c r="J24" s="162">
        <v>2</v>
      </c>
      <c r="K24" s="163"/>
    </row>
    <row r="25" spans="1:11" ht="15" customHeight="1" x14ac:dyDescent="0.2">
      <c r="A25" s="154" t="s">
        <v>67</v>
      </c>
      <c r="B25" s="155">
        <v>17</v>
      </c>
      <c r="C25" s="155">
        <v>24</v>
      </c>
      <c r="D25" s="155">
        <v>14</v>
      </c>
      <c r="E25" s="159">
        <v>55</v>
      </c>
      <c r="F25" s="159">
        <v>55</v>
      </c>
      <c r="G25" s="159">
        <v>0</v>
      </c>
      <c r="H25" s="159">
        <v>0</v>
      </c>
      <c r="I25" s="159">
        <v>0</v>
      </c>
      <c r="J25" s="160">
        <v>1</v>
      </c>
      <c r="K25" s="163"/>
    </row>
    <row r="26" spans="1:11" ht="15" customHeight="1" x14ac:dyDescent="0.2">
      <c r="A26" s="85" t="s">
        <v>68</v>
      </c>
      <c r="B26" s="153">
        <v>4</v>
      </c>
      <c r="C26" s="153">
        <v>2</v>
      </c>
      <c r="D26" s="153">
        <v>11</v>
      </c>
      <c r="E26" s="161">
        <v>17</v>
      </c>
      <c r="F26" s="161">
        <v>16</v>
      </c>
      <c r="G26" s="161">
        <v>0</v>
      </c>
      <c r="H26" s="161">
        <v>0</v>
      </c>
      <c r="I26" s="161">
        <v>1</v>
      </c>
      <c r="J26" s="162">
        <v>0</v>
      </c>
      <c r="K26" s="163"/>
    </row>
    <row r="27" spans="1:11" ht="15" customHeight="1" x14ac:dyDescent="0.2">
      <c r="A27" s="154" t="s">
        <v>69</v>
      </c>
      <c r="B27" s="155">
        <v>22</v>
      </c>
      <c r="C27" s="155">
        <v>37</v>
      </c>
      <c r="D27" s="155">
        <v>28</v>
      </c>
      <c r="E27" s="159">
        <v>87</v>
      </c>
      <c r="F27" s="159">
        <v>85</v>
      </c>
      <c r="G27" s="159">
        <v>0</v>
      </c>
      <c r="H27" s="159">
        <v>0</v>
      </c>
      <c r="I27" s="159">
        <v>2</v>
      </c>
      <c r="J27" s="160">
        <v>4</v>
      </c>
      <c r="K27" s="163"/>
    </row>
    <row r="28" spans="1:11" ht="15" customHeight="1" x14ac:dyDescent="0.2">
      <c r="A28" s="85" t="s">
        <v>70</v>
      </c>
      <c r="B28" s="153">
        <v>30</v>
      </c>
      <c r="C28" s="153">
        <v>31</v>
      </c>
      <c r="D28" s="153">
        <v>39</v>
      </c>
      <c r="E28" s="161">
        <v>100</v>
      </c>
      <c r="F28" s="161">
        <v>97</v>
      </c>
      <c r="G28" s="161">
        <v>2</v>
      </c>
      <c r="H28" s="161">
        <v>1</v>
      </c>
      <c r="I28" s="161">
        <v>0</v>
      </c>
      <c r="J28" s="162">
        <v>6</v>
      </c>
      <c r="K28" s="163"/>
    </row>
    <row r="29" spans="1:11" ht="15" customHeight="1" x14ac:dyDescent="0.2">
      <c r="A29" s="154" t="s">
        <v>71</v>
      </c>
      <c r="B29" s="155">
        <v>13</v>
      </c>
      <c r="C29" s="155">
        <v>16</v>
      </c>
      <c r="D29" s="155">
        <v>10</v>
      </c>
      <c r="E29" s="159">
        <v>39</v>
      </c>
      <c r="F29" s="159">
        <v>36</v>
      </c>
      <c r="G29" s="159">
        <v>1</v>
      </c>
      <c r="H29" s="159">
        <v>2</v>
      </c>
      <c r="I29" s="159">
        <v>0</v>
      </c>
      <c r="J29" s="160">
        <v>0</v>
      </c>
      <c r="K29" s="163"/>
    </row>
    <row r="30" spans="1:11" ht="15" customHeight="1" x14ac:dyDescent="0.2">
      <c r="A30" s="85" t="s">
        <v>72</v>
      </c>
      <c r="B30" s="153">
        <v>0</v>
      </c>
      <c r="C30" s="153">
        <v>0</v>
      </c>
      <c r="D30" s="153">
        <v>0</v>
      </c>
      <c r="E30" s="161">
        <v>0</v>
      </c>
      <c r="F30" s="161">
        <v>0</v>
      </c>
      <c r="G30" s="161">
        <v>0</v>
      </c>
      <c r="H30" s="161">
        <v>0</v>
      </c>
      <c r="I30" s="161">
        <v>0</v>
      </c>
      <c r="J30" s="162">
        <v>0</v>
      </c>
      <c r="K30" s="163"/>
    </row>
    <row r="31" spans="1:11" ht="15" customHeight="1" x14ac:dyDescent="0.2">
      <c r="A31" s="154" t="s">
        <v>73</v>
      </c>
      <c r="B31" s="155">
        <v>1</v>
      </c>
      <c r="C31" s="155">
        <v>0</v>
      </c>
      <c r="D31" s="155">
        <v>0</v>
      </c>
      <c r="E31" s="159">
        <v>1</v>
      </c>
      <c r="F31" s="159">
        <v>1</v>
      </c>
      <c r="G31" s="159">
        <v>0</v>
      </c>
      <c r="H31" s="159">
        <v>0</v>
      </c>
      <c r="I31" s="159">
        <v>0</v>
      </c>
      <c r="J31" s="160">
        <v>0</v>
      </c>
      <c r="K31" s="163"/>
    </row>
    <row r="32" spans="1:11" ht="15" customHeight="1" x14ac:dyDescent="0.2">
      <c r="A32" s="85" t="s">
        <v>74</v>
      </c>
      <c r="B32" s="153">
        <v>29</v>
      </c>
      <c r="C32" s="153">
        <v>28</v>
      </c>
      <c r="D32" s="153">
        <v>32</v>
      </c>
      <c r="E32" s="161">
        <v>89</v>
      </c>
      <c r="F32" s="161">
        <v>84</v>
      </c>
      <c r="G32" s="161">
        <v>1</v>
      </c>
      <c r="H32" s="161">
        <v>4</v>
      </c>
      <c r="I32" s="161">
        <v>0</v>
      </c>
      <c r="J32" s="162">
        <v>1</v>
      </c>
      <c r="K32" s="163"/>
    </row>
    <row r="33" spans="1:11" ht="15" customHeight="1" x14ac:dyDescent="0.2">
      <c r="A33" s="154" t="s">
        <v>75</v>
      </c>
      <c r="B33" s="155">
        <v>67</v>
      </c>
      <c r="C33" s="155">
        <v>92</v>
      </c>
      <c r="D33" s="155">
        <v>79</v>
      </c>
      <c r="E33" s="159">
        <v>238</v>
      </c>
      <c r="F33" s="159">
        <v>229</v>
      </c>
      <c r="G33" s="159">
        <v>3</v>
      </c>
      <c r="H33" s="159">
        <v>2</v>
      </c>
      <c r="I33" s="159">
        <v>1</v>
      </c>
      <c r="J33" s="160">
        <v>9</v>
      </c>
      <c r="K33" s="163"/>
    </row>
    <row r="34" spans="1:11" ht="15" customHeight="1" x14ac:dyDescent="0.2">
      <c r="A34" s="85" t="s">
        <v>76</v>
      </c>
      <c r="B34" s="153">
        <v>8</v>
      </c>
      <c r="C34" s="153">
        <v>10</v>
      </c>
      <c r="D34" s="153">
        <v>8</v>
      </c>
      <c r="E34" s="161">
        <v>26</v>
      </c>
      <c r="F34" s="161">
        <v>26</v>
      </c>
      <c r="G34" s="161">
        <v>0</v>
      </c>
      <c r="H34" s="161">
        <v>0</v>
      </c>
      <c r="I34" s="161">
        <v>0</v>
      </c>
      <c r="J34" s="162">
        <v>1</v>
      </c>
      <c r="K34" s="163"/>
    </row>
    <row r="35" spans="1:11" ht="15" customHeight="1" x14ac:dyDescent="0.2">
      <c r="A35" s="154" t="s">
        <v>173</v>
      </c>
      <c r="B35" s="155">
        <v>13</v>
      </c>
      <c r="C35" s="155">
        <v>15</v>
      </c>
      <c r="D35" s="155">
        <v>20</v>
      </c>
      <c r="E35" s="159">
        <v>48</v>
      </c>
      <c r="F35" s="159">
        <v>46</v>
      </c>
      <c r="G35" s="159">
        <v>1</v>
      </c>
      <c r="H35" s="159">
        <v>0</v>
      </c>
      <c r="I35" s="159">
        <v>1</v>
      </c>
      <c r="J35" s="160">
        <v>1</v>
      </c>
      <c r="K35" s="163"/>
    </row>
    <row r="36" spans="1:11" ht="15" customHeight="1" x14ac:dyDescent="0.2">
      <c r="A36" s="85" t="s">
        <v>77</v>
      </c>
      <c r="B36" s="153">
        <v>18</v>
      </c>
      <c r="C36" s="153">
        <v>23</v>
      </c>
      <c r="D36" s="153">
        <v>27</v>
      </c>
      <c r="E36" s="161">
        <v>68</v>
      </c>
      <c r="F36" s="161">
        <v>59</v>
      </c>
      <c r="G36" s="161">
        <v>2</v>
      </c>
      <c r="H36" s="161">
        <v>5</v>
      </c>
      <c r="I36" s="161">
        <v>1</v>
      </c>
      <c r="J36" s="162">
        <v>3</v>
      </c>
      <c r="K36" s="163"/>
    </row>
    <row r="37" spans="1:11" ht="15" customHeight="1" x14ac:dyDescent="0.2">
      <c r="A37" s="154" t="s">
        <v>78</v>
      </c>
      <c r="B37" s="155">
        <v>28</v>
      </c>
      <c r="C37" s="155">
        <v>44</v>
      </c>
      <c r="D37" s="155">
        <v>45</v>
      </c>
      <c r="E37" s="159">
        <v>117</v>
      </c>
      <c r="F37" s="159">
        <v>104</v>
      </c>
      <c r="G37" s="159">
        <v>4</v>
      </c>
      <c r="H37" s="159">
        <v>4</v>
      </c>
      <c r="I37" s="159">
        <v>1</v>
      </c>
      <c r="J37" s="160">
        <v>12</v>
      </c>
      <c r="K37" s="163"/>
    </row>
    <row r="38" spans="1:11" ht="15" customHeight="1" x14ac:dyDescent="0.2">
      <c r="A38" s="85" t="s">
        <v>79</v>
      </c>
      <c r="B38" s="153">
        <v>1</v>
      </c>
      <c r="C38" s="153">
        <v>1</v>
      </c>
      <c r="D38" s="153">
        <v>1</v>
      </c>
      <c r="E38" s="161">
        <v>3</v>
      </c>
      <c r="F38" s="161">
        <v>1</v>
      </c>
      <c r="G38" s="161">
        <v>2</v>
      </c>
      <c r="H38" s="161">
        <v>0</v>
      </c>
      <c r="I38" s="161">
        <v>0</v>
      </c>
      <c r="J38" s="162">
        <v>0</v>
      </c>
      <c r="K38" s="163"/>
    </row>
    <row r="39" spans="1:11" ht="15" customHeight="1" x14ac:dyDescent="0.2">
      <c r="A39" s="154" t="s">
        <v>123</v>
      </c>
      <c r="B39" s="155">
        <v>171</v>
      </c>
      <c r="C39" s="155">
        <v>195</v>
      </c>
      <c r="D39" s="155">
        <v>204</v>
      </c>
      <c r="E39" s="159">
        <v>570</v>
      </c>
      <c r="F39" s="159">
        <v>568</v>
      </c>
      <c r="G39" s="159">
        <v>2</v>
      </c>
      <c r="H39" s="159">
        <v>0</v>
      </c>
      <c r="I39" s="159">
        <v>0</v>
      </c>
      <c r="J39" s="160">
        <v>17</v>
      </c>
      <c r="K39" s="163"/>
    </row>
    <row r="40" spans="1:11" ht="15" customHeight="1" x14ac:dyDescent="0.2">
      <c r="A40" s="85" t="s">
        <v>80</v>
      </c>
      <c r="B40" s="153">
        <v>7</v>
      </c>
      <c r="C40" s="153">
        <v>2</v>
      </c>
      <c r="D40" s="153">
        <v>5</v>
      </c>
      <c r="E40" s="161">
        <v>14</v>
      </c>
      <c r="F40" s="161">
        <v>14</v>
      </c>
      <c r="G40" s="161">
        <v>0</v>
      </c>
      <c r="H40" s="161">
        <v>0</v>
      </c>
      <c r="I40" s="161">
        <v>0</v>
      </c>
      <c r="J40" s="162">
        <v>0</v>
      </c>
      <c r="K40" s="163"/>
    </row>
    <row r="41" spans="1:11" ht="15" customHeight="1" x14ac:dyDescent="0.2">
      <c r="A41" s="154" t="s">
        <v>81</v>
      </c>
      <c r="B41" s="155">
        <v>1</v>
      </c>
      <c r="C41" s="155">
        <v>1</v>
      </c>
      <c r="D41" s="155">
        <v>0</v>
      </c>
      <c r="E41" s="159">
        <v>2</v>
      </c>
      <c r="F41" s="159">
        <v>2</v>
      </c>
      <c r="G41" s="159">
        <v>0</v>
      </c>
      <c r="H41" s="159">
        <v>0</v>
      </c>
      <c r="I41" s="159">
        <v>0</v>
      </c>
      <c r="J41" s="160">
        <v>0</v>
      </c>
      <c r="K41" s="163"/>
    </row>
    <row r="42" spans="1:11" ht="15" customHeight="1" x14ac:dyDescent="0.2">
      <c r="A42" s="85" t="s">
        <v>82</v>
      </c>
      <c r="B42" s="153">
        <v>86</v>
      </c>
      <c r="C42" s="153">
        <v>109</v>
      </c>
      <c r="D42" s="153">
        <v>105</v>
      </c>
      <c r="E42" s="161">
        <v>300</v>
      </c>
      <c r="F42" s="161">
        <v>297</v>
      </c>
      <c r="G42" s="161">
        <v>2</v>
      </c>
      <c r="H42" s="161">
        <v>1</v>
      </c>
      <c r="I42" s="161">
        <v>0</v>
      </c>
      <c r="J42" s="162">
        <v>9</v>
      </c>
      <c r="K42" s="163"/>
    </row>
    <row r="43" spans="1:11" ht="15" customHeight="1" x14ac:dyDescent="0.2">
      <c r="A43" s="154" t="s">
        <v>83</v>
      </c>
      <c r="B43" s="155">
        <v>0</v>
      </c>
      <c r="C43" s="155">
        <v>0</v>
      </c>
      <c r="D43" s="155">
        <v>0</v>
      </c>
      <c r="E43" s="159">
        <v>0</v>
      </c>
      <c r="F43" s="159">
        <v>0</v>
      </c>
      <c r="G43" s="159">
        <v>0</v>
      </c>
      <c r="H43" s="159">
        <v>0</v>
      </c>
      <c r="I43" s="159">
        <v>0</v>
      </c>
      <c r="J43" s="160">
        <v>0</v>
      </c>
      <c r="K43" s="163"/>
    </row>
    <row r="44" spans="1:11" ht="15" customHeight="1" x14ac:dyDescent="0.2">
      <c r="A44" s="85" t="s">
        <v>84</v>
      </c>
      <c r="B44" s="153">
        <v>7</v>
      </c>
      <c r="C44" s="153">
        <v>7</v>
      </c>
      <c r="D44" s="153">
        <v>16</v>
      </c>
      <c r="E44" s="161">
        <v>30</v>
      </c>
      <c r="F44" s="161">
        <v>29</v>
      </c>
      <c r="G44" s="161">
        <v>0</v>
      </c>
      <c r="H44" s="161">
        <v>1</v>
      </c>
      <c r="I44" s="161">
        <v>0</v>
      </c>
      <c r="J44" s="162">
        <v>1</v>
      </c>
      <c r="K44" s="163"/>
    </row>
    <row r="45" spans="1:11" ht="15" customHeight="1" x14ac:dyDescent="0.2">
      <c r="A45" s="154" t="s">
        <v>85</v>
      </c>
      <c r="B45" s="155">
        <v>16</v>
      </c>
      <c r="C45" s="155">
        <v>23</v>
      </c>
      <c r="D45" s="155">
        <v>29</v>
      </c>
      <c r="E45" s="159">
        <v>68</v>
      </c>
      <c r="F45" s="159">
        <v>68</v>
      </c>
      <c r="G45" s="159">
        <v>0</v>
      </c>
      <c r="H45" s="159">
        <v>0</v>
      </c>
      <c r="I45" s="159">
        <v>0</v>
      </c>
      <c r="J45" s="160">
        <v>1</v>
      </c>
      <c r="K45" s="163"/>
    </row>
    <row r="46" spans="1:11" ht="15" customHeight="1" x14ac:dyDescent="0.2">
      <c r="A46" s="85" t="s">
        <v>86</v>
      </c>
      <c r="B46" s="153">
        <v>119</v>
      </c>
      <c r="C46" s="153">
        <v>144</v>
      </c>
      <c r="D46" s="153">
        <v>108</v>
      </c>
      <c r="E46" s="161">
        <v>371</v>
      </c>
      <c r="F46" s="161">
        <v>369</v>
      </c>
      <c r="G46" s="161">
        <v>2</v>
      </c>
      <c r="H46" s="161">
        <v>0</v>
      </c>
      <c r="I46" s="161">
        <v>0</v>
      </c>
      <c r="J46" s="162">
        <v>5</v>
      </c>
      <c r="K46" s="163"/>
    </row>
    <row r="47" spans="1:11" ht="15" customHeight="1" x14ac:dyDescent="0.2">
      <c r="A47" s="154" t="s">
        <v>87</v>
      </c>
      <c r="B47" s="155">
        <v>34</v>
      </c>
      <c r="C47" s="155">
        <v>56</v>
      </c>
      <c r="D47" s="155">
        <v>52</v>
      </c>
      <c r="E47" s="159">
        <v>142</v>
      </c>
      <c r="F47" s="159">
        <v>142</v>
      </c>
      <c r="G47" s="159">
        <v>0</v>
      </c>
      <c r="H47" s="159">
        <v>0</v>
      </c>
      <c r="I47" s="159">
        <v>0</v>
      </c>
      <c r="J47" s="160">
        <v>8</v>
      </c>
      <c r="K47" s="163"/>
    </row>
    <row r="48" spans="1:11" ht="15" customHeight="1" x14ac:dyDescent="0.2">
      <c r="A48" s="85" t="s">
        <v>258</v>
      </c>
      <c r="B48" s="153">
        <v>4</v>
      </c>
      <c r="C48" s="153">
        <v>2</v>
      </c>
      <c r="D48" s="153">
        <v>3</v>
      </c>
      <c r="E48" s="161">
        <v>9</v>
      </c>
      <c r="F48" s="161">
        <v>9</v>
      </c>
      <c r="G48" s="161">
        <v>0</v>
      </c>
      <c r="H48" s="161">
        <v>0</v>
      </c>
      <c r="I48" s="161">
        <v>0</v>
      </c>
      <c r="J48" s="162">
        <v>0</v>
      </c>
      <c r="K48" s="163"/>
    </row>
    <row r="49" spans="1:11" ht="15" customHeight="1" x14ac:dyDescent="0.2">
      <c r="A49" s="154" t="s">
        <v>105</v>
      </c>
      <c r="B49" s="155">
        <v>1</v>
      </c>
      <c r="C49" s="155">
        <v>1</v>
      </c>
      <c r="D49" s="155">
        <v>0</v>
      </c>
      <c r="E49" s="159">
        <v>2</v>
      </c>
      <c r="F49" s="159">
        <v>2</v>
      </c>
      <c r="G49" s="159">
        <v>0</v>
      </c>
      <c r="H49" s="159">
        <v>0</v>
      </c>
      <c r="I49" s="159">
        <v>0</v>
      </c>
      <c r="J49" s="160">
        <v>0</v>
      </c>
      <c r="K49" s="163"/>
    </row>
    <row r="50" spans="1:11" ht="15" customHeight="1" x14ac:dyDescent="0.2">
      <c r="A50" s="85" t="s">
        <v>88</v>
      </c>
      <c r="B50" s="153">
        <v>7</v>
      </c>
      <c r="C50" s="153">
        <v>6</v>
      </c>
      <c r="D50" s="153">
        <v>7</v>
      </c>
      <c r="E50" s="161">
        <v>20</v>
      </c>
      <c r="F50" s="161">
        <v>17</v>
      </c>
      <c r="G50" s="161">
        <v>1</v>
      </c>
      <c r="H50" s="161">
        <v>0</v>
      </c>
      <c r="I50" s="161">
        <v>2</v>
      </c>
      <c r="J50" s="162">
        <v>0</v>
      </c>
      <c r="K50" s="163"/>
    </row>
    <row r="51" spans="1:11" ht="15" customHeight="1" x14ac:dyDescent="0.2">
      <c r="A51" s="154" t="s">
        <v>89</v>
      </c>
      <c r="B51" s="155">
        <v>10</v>
      </c>
      <c r="C51" s="155">
        <v>9</v>
      </c>
      <c r="D51" s="155">
        <v>4</v>
      </c>
      <c r="E51" s="159">
        <v>23</v>
      </c>
      <c r="F51" s="159">
        <v>22</v>
      </c>
      <c r="G51" s="159">
        <v>1</v>
      </c>
      <c r="H51" s="159">
        <v>0</v>
      </c>
      <c r="I51" s="159">
        <v>0</v>
      </c>
      <c r="J51" s="160">
        <v>1</v>
      </c>
      <c r="K51" s="163"/>
    </row>
    <row r="52" spans="1:11" ht="15" customHeight="1" x14ac:dyDescent="0.2">
      <c r="A52" s="85" t="s">
        <v>90</v>
      </c>
      <c r="B52" s="153">
        <v>164</v>
      </c>
      <c r="C52" s="153">
        <v>221</v>
      </c>
      <c r="D52" s="153">
        <v>183</v>
      </c>
      <c r="E52" s="161">
        <v>568</v>
      </c>
      <c r="F52" s="161">
        <v>547</v>
      </c>
      <c r="G52" s="161">
        <v>5</v>
      </c>
      <c r="H52" s="161">
        <v>11</v>
      </c>
      <c r="I52" s="161">
        <v>5</v>
      </c>
      <c r="J52" s="162">
        <v>20</v>
      </c>
      <c r="K52" s="163"/>
    </row>
    <row r="53" spans="1:11" ht="15" customHeight="1" x14ac:dyDescent="0.2">
      <c r="A53" s="154" t="s">
        <v>106</v>
      </c>
      <c r="B53" s="155">
        <v>4</v>
      </c>
      <c r="C53" s="155">
        <v>2</v>
      </c>
      <c r="D53" s="155">
        <v>2</v>
      </c>
      <c r="E53" s="159">
        <v>8</v>
      </c>
      <c r="F53" s="159">
        <v>7</v>
      </c>
      <c r="G53" s="159">
        <v>0</v>
      </c>
      <c r="H53" s="159">
        <v>1</v>
      </c>
      <c r="I53" s="159">
        <v>0</v>
      </c>
      <c r="J53" s="160">
        <v>3</v>
      </c>
      <c r="K53" s="163"/>
    </row>
    <row r="54" spans="1:11" ht="15" customHeight="1" x14ac:dyDescent="0.2">
      <c r="A54" s="85" t="s">
        <v>91</v>
      </c>
      <c r="B54" s="153">
        <v>273</v>
      </c>
      <c r="C54" s="153">
        <v>296</v>
      </c>
      <c r="D54" s="153">
        <v>329</v>
      </c>
      <c r="E54" s="161">
        <v>898</v>
      </c>
      <c r="F54" s="161">
        <v>895</v>
      </c>
      <c r="G54" s="161">
        <v>0</v>
      </c>
      <c r="H54" s="161">
        <v>0</v>
      </c>
      <c r="I54" s="161">
        <v>1</v>
      </c>
      <c r="J54" s="162">
        <v>33</v>
      </c>
      <c r="K54" s="163"/>
    </row>
    <row r="55" spans="1:11" ht="15" customHeight="1" x14ac:dyDescent="0.2">
      <c r="A55" s="154" t="s">
        <v>92</v>
      </c>
      <c r="B55" s="155">
        <v>296</v>
      </c>
      <c r="C55" s="155">
        <v>430</v>
      </c>
      <c r="D55" s="155">
        <v>417</v>
      </c>
      <c r="E55" s="159">
        <v>1143</v>
      </c>
      <c r="F55" s="159">
        <v>1139</v>
      </c>
      <c r="G55" s="159">
        <v>3</v>
      </c>
      <c r="H55" s="159">
        <v>0</v>
      </c>
      <c r="I55" s="159">
        <v>1</v>
      </c>
      <c r="J55" s="160">
        <v>32</v>
      </c>
      <c r="K55" s="163"/>
    </row>
    <row r="56" spans="1:11" ht="15" customHeight="1" x14ac:dyDescent="0.2">
      <c r="A56" s="85" t="s">
        <v>93</v>
      </c>
      <c r="B56" s="153">
        <v>44</v>
      </c>
      <c r="C56" s="153">
        <v>60</v>
      </c>
      <c r="D56" s="153">
        <v>57</v>
      </c>
      <c r="E56" s="161">
        <v>161</v>
      </c>
      <c r="F56" s="161">
        <v>160</v>
      </c>
      <c r="G56" s="161">
        <v>1</v>
      </c>
      <c r="H56" s="161">
        <v>0</v>
      </c>
      <c r="I56" s="161">
        <v>0</v>
      </c>
      <c r="J56" s="162">
        <v>6</v>
      </c>
      <c r="K56" s="163"/>
    </row>
    <row r="57" spans="1:11" ht="15" customHeight="1" x14ac:dyDescent="0.2">
      <c r="A57" s="154" t="s">
        <v>94</v>
      </c>
      <c r="B57" s="155">
        <v>23</v>
      </c>
      <c r="C57" s="155">
        <v>18</v>
      </c>
      <c r="D57" s="155">
        <v>19</v>
      </c>
      <c r="E57" s="159">
        <v>60</v>
      </c>
      <c r="F57" s="159">
        <v>60</v>
      </c>
      <c r="G57" s="159">
        <v>0</v>
      </c>
      <c r="H57" s="159">
        <v>0</v>
      </c>
      <c r="I57" s="159">
        <v>0</v>
      </c>
      <c r="J57" s="160">
        <v>12</v>
      </c>
      <c r="K57" s="163"/>
    </row>
    <row r="58" spans="1:11" x14ac:dyDescent="0.2">
      <c r="A58" s="3"/>
      <c r="B58" s="58"/>
      <c r="C58" s="58"/>
      <c r="D58" s="58"/>
      <c r="E58" s="67"/>
      <c r="F58" s="67"/>
      <c r="G58" s="67"/>
      <c r="H58" s="67"/>
      <c r="I58" s="67"/>
      <c r="J58" s="72"/>
    </row>
    <row r="59" spans="1:11" ht="15.75" thickBot="1" x14ac:dyDescent="0.3">
      <c r="A59" s="111" t="s">
        <v>224</v>
      </c>
      <c r="B59" s="115">
        <v>2327</v>
      </c>
      <c r="C59" s="112">
        <v>2856</v>
      </c>
      <c r="D59" s="112">
        <v>2768</v>
      </c>
      <c r="E59" s="113">
        <v>7951</v>
      </c>
      <c r="F59" s="113">
        <v>7807</v>
      </c>
      <c r="G59" s="113">
        <v>59</v>
      </c>
      <c r="H59" s="113">
        <v>40</v>
      </c>
      <c r="I59" s="113">
        <v>28</v>
      </c>
      <c r="J59" s="112">
        <v>281</v>
      </c>
    </row>
    <row r="60" spans="1:11" s="218" customFormat="1" ht="12.75" customHeight="1" x14ac:dyDescent="0.25">
      <c r="A60" s="44"/>
      <c r="B60" s="44"/>
      <c r="C60" s="44"/>
      <c r="D60" s="44"/>
      <c r="E60" s="44"/>
      <c r="F60" s="44"/>
      <c r="G60" s="44"/>
      <c r="H60" s="44"/>
      <c r="I60" s="3"/>
      <c r="J60" s="42" t="s">
        <v>207</v>
      </c>
    </row>
    <row r="61" spans="1:11" ht="15" x14ac:dyDescent="0.2">
      <c r="A61" s="268"/>
      <c r="B61" s="268"/>
      <c r="C61" s="268"/>
      <c r="D61" s="268"/>
      <c r="E61" s="268"/>
      <c r="F61" s="268"/>
      <c r="G61" s="268"/>
      <c r="H61" s="268"/>
      <c r="I61" s="268"/>
      <c r="J61" s="268"/>
    </row>
    <row r="62" spans="1:11" ht="15" x14ac:dyDescent="0.2">
      <c r="A62" s="268"/>
      <c r="B62" s="268"/>
      <c r="C62" s="269"/>
      <c r="D62" s="268"/>
      <c r="E62" s="268"/>
      <c r="F62" s="268"/>
      <c r="G62" s="268" t="s">
        <v>205</v>
      </c>
      <c r="H62" s="268"/>
      <c r="I62" s="268"/>
      <c r="J62" s="268"/>
    </row>
    <row r="63" spans="1:11" ht="15" x14ac:dyDescent="0.2">
      <c r="A63" s="268"/>
      <c r="B63" s="268"/>
      <c r="C63" s="268"/>
      <c r="D63" s="268"/>
      <c r="E63" s="268"/>
      <c r="F63" s="268"/>
      <c r="G63" s="268"/>
      <c r="H63" s="268"/>
      <c r="I63" s="268"/>
      <c r="J63" s="268"/>
    </row>
    <row r="64" spans="1:11" x14ac:dyDescent="0.2">
      <c r="A64" s="164"/>
      <c r="B64" s="164"/>
      <c r="C64" s="164"/>
      <c r="D64" s="164"/>
      <c r="E64" s="164"/>
      <c r="F64" s="164"/>
      <c r="G64" s="164"/>
      <c r="H64" s="164"/>
      <c r="I64" s="164"/>
      <c r="J64" s="164"/>
    </row>
    <row r="66" spans="7:10" x14ac:dyDescent="0.2">
      <c r="G66" s="188" t="s">
        <v>321</v>
      </c>
      <c r="H66" s="197">
        <f>SUM(G59:I59)</f>
        <v>127</v>
      </c>
      <c r="I66" s="223">
        <f>H66/F59*100</f>
        <v>1.6267452286409634</v>
      </c>
      <c r="J66" s="5" t="s">
        <v>191</v>
      </c>
    </row>
  </sheetData>
  <mergeCells count="2">
    <mergeCell ref="B3:D4"/>
    <mergeCell ref="F3:I3"/>
  </mergeCells>
  <phoneticPr fontId="0" type="noConversion"/>
  <pageMargins left="0.75" right="0.75" top="1" bottom="1" header="0.5" footer="0.5"/>
  <pageSetup paperSize="9" scale="67"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6"/>
  <sheetViews>
    <sheetView showGridLines="0" workbookViewId="0">
      <selection activeCell="P14" sqref="P14"/>
    </sheetView>
  </sheetViews>
  <sheetFormatPr defaultColWidth="7.140625" defaultRowHeight="12.75" x14ac:dyDescent="0.2"/>
  <cols>
    <col min="1" max="1" width="27.140625" style="5" customWidth="1"/>
    <col min="2" max="16384" width="7.140625" style="5"/>
  </cols>
  <sheetData>
    <row r="1" spans="1:11" s="127" customFormat="1" ht="15" customHeight="1" x14ac:dyDescent="0.25">
      <c r="A1" s="130" t="s">
        <v>396</v>
      </c>
    </row>
    <row r="2" spans="1:11" ht="15.75" customHeight="1" thickBot="1" x14ac:dyDescent="0.25">
      <c r="A2" s="8"/>
    </row>
    <row r="3" spans="1:11" ht="16.5" customHeight="1" x14ac:dyDescent="0.2">
      <c r="A3" s="2"/>
      <c r="B3" s="411" t="s">
        <v>268</v>
      </c>
      <c r="C3" s="401"/>
      <c r="D3" s="411" t="s">
        <v>276</v>
      </c>
      <c r="E3" s="401"/>
      <c r="F3" s="411" t="s">
        <v>278</v>
      </c>
      <c r="G3" s="401"/>
      <c r="H3" s="411" t="s">
        <v>320</v>
      </c>
      <c r="I3" s="401"/>
      <c r="J3" s="411" t="s">
        <v>388</v>
      </c>
      <c r="K3" s="401"/>
    </row>
    <row r="4" spans="1:11" ht="16.5" customHeight="1" x14ac:dyDescent="0.2">
      <c r="A4" s="66" t="s">
        <v>95</v>
      </c>
      <c r="B4" s="61" t="s">
        <v>101</v>
      </c>
      <c r="C4" s="61" t="s">
        <v>100</v>
      </c>
      <c r="D4" s="61" t="s">
        <v>101</v>
      </c>
      <c r="E4" s="61" t="s">
        <v>100</v>
      </c>
      <c r="F4" s="61" t="s">
        <v>101</v>
      </c>
      <c r="G4" s="61" t="s">
        <v>100</v>
      </c>
      <c r="H4" s="61" t="s">
        <v>101</v>
      </c>
      <c r="I4" s="61" t="s">
        <v>100</v>
      </c>
      <c r="J4" s="61" t="s">
        <v>101</v>
      </c>
      <c r="K4" s="61" t="s">
        <v>100</v>
      </c>
    </row>
    <row r="5" spans="1:11" ht="15" customHeight="1" x14ac:dyDescent="0.2">
      <c r="A5" s="3" t="s">
        <v>102</v>
      </c>
      <c r="B5" s="72">
        <v>0</v>
      </c>
      <c r="C5" s="72">
        <v>0</v>
      </c>
      <c r="D5" s="72">
        <v>0</v>
      </c>
      <c r="E5" s="72">
        <v>3</v>
      </c>
      <c r="F5" s="72">
        <v>0</v>
      </c>
      <c r="G5" s="72">
        <v>1</v>
      </c>
      <c r="H5" s="72">
        <v>0</v>
      </c>
      <c r="I5" s="72">
        <v>0</v>
      </c>
      <c r="J5" s="72">
        <v>0</v>
      </c>
      <c r="K5" s="72">
        <v>0</v>
      </c>
    </row>
    <row r="6" spans="1:11" ht="15" customHeight="1" x14ac:dyDescent="0.2">
      <c r="A6" s="154" t="s">
        <v>113</v>
      </c>
      <c r="B6" s="166">
        <v>0</v>
      </c>
      <c r="C6" s="166">
        <v>1</v>
      </c>
      <c r="D6" s="166">
        <v>0</v>
      </c>
      <c r="E6" s="166">
        <v>1</v>
      </c>
      <c r="F6" s="166">
        <v>0</v>
      </c>
      <c r="G6" s="166">
        <v>0</v>
      </c>
      <c r="H6" s="166">
        <v>0</v>
      </c>
      <c r="I6" s="166">
        <v>2</v>
      </c>
      <c r="J6" s="166">
        <v>0</v>
      </c>
      <c r="K6" s="166">
        <v>1</v>
      </c>
    </row>
    <row r="7" spans="1:11" ht="15" customHeight="1" x14ac:dyDescent="0.2">
      <c r="A7" s="3" t="s">
        <v>56</v>
      </c>
      <c r="B7" s="72">
        <v>0</v>
      </c>
      <c r="C7" s="72">
        <v>0</v>
      </c>
      <c r="D7" s="72">
        <v>0</v>
      </c>
      <c r="E7" s="72">
        <v>0</v>
      </c>
      <c r="F7" s="72">
        <v>0</v>
      </c>
      <c r="G7" s="72">
        <v>0</v>
      </c>
      <c r="H7" s="72">
        <v>0</v>
      </c>
      <c r="I7" s="72">
        <v>0</v>
      </c>
      <c r="J7" s="72">
        <v>0</v>
      </c>
      <c r="K7" s="72">
        <v>0</v>
      </c>
    </row>
    <row r="8" spans="1:11" ht="15" customHeight="1" x14ac:dyDescent="0.2">
      <c r="A8" s="154" t="s">
        <v>57</v>
      </c>
      <c r="B8" s="166">
        <v>113</v>
      </c>
      <c r="C8" s="166">
        <v>173</v>
      </c>
      <c r="D8" s="166">
        <v>51</v>
      </c>
      <c r="E8" s="166">
        <v>195</v>
      </c>
      <c r="F8" s="166">
        <v>191</v>
      </c>
      <c r="G8" s="166">
        <v>192</v>
      </c>
      <c r="H8" s="166">
        <v>127</v>
      </c>
      <c r="I8" s="166">
        <v>173</v>
      </c>
      <c r="J8" s="166">
        <v>132</v>
      </c>
      <c r="K8" s="166">
        <v>171</v>
      </c>
    </row>
    <row r="9" spans="1:11" ht="15" customHeight="1" x14ac:dyDescent="0.2">
      <c r="A9" s="3" t="s">
        <v>249</v>
      </c>
      <c r="B9" s="72">
        <v>0</v>
      </c>
      <c r="C9" s="72">
        <v>0</v>
      </c>
      <c r="D9" s="72">
        <v>0</v>
      </c>
      <c r="E9" s="72">
        <v>0</v>
      </c>
      <c r="F9" s="72">
        <v>0</v>
      </c>
      <c r="G9" s="72">
        <v>0</v>
      </c>
      <c r="H9" s="72">
        <v>0</v>
      </c>
      <c r="I9" s="72">
        <v>0</v>
      </c>
      <c r="J9" s="72">
        <v>0</v>
      </c>
      <c r="K9" s="72">
        <v>0</v>
      </c>
    </row>
    <row r="10" spans="1:11" ht="15" customHeight="1" x14ac:dyDescent="0.2">
      <c r="A10" s="154" t="s">
        <v>59</v>
      </c>
      <c r="B10" s="166">
        <v>0</v>
      </c>
      <c r="C10" s="166">
        <v>3</v>
      </c>
      <c r="D10" s="166">
        <v>0</v>
      </c>
      <c r="E10" s="166">
        <v>2</v>
      </c>
      <c r="F10" s="166">
        <v>0</v>
      </c>
      <c r="G10" s="166">
        <v>3</v>
      </c>
      <c r="H10" s="166">
        <v>0</v>
      </c>
      <c r="I10" s="166">
        <v>1</v>
      </c>
      <c r="J10" s="166">
        <v>0</v>
      </c>
      <c r="K10" s="166">
        <v>0</v>
      </c>
    </row>
    <row r="11" spans="1:11" ht="15" customHeight="1" x14ac:dyDescent="0.2">
      <c r="A11" s="3" t="s">
        <v>62</v>
      </c>
      <c r="B11" s="72">
        <v>15</v>
      </c>
      <c r="C11" s="72">
        <v>20</v>
      </c>
      <c r="D11" s="72">
        <v>5</v>
      </c>
      <c r="E11" s="72">
        <v>16</v>
      </c>
      <c r="F11" s="72">
        <v>12</v>
      </c>
      <c r="G11" s="72">
        <v>12</v>
      </c>
      <c r="H11" s="72">
        <v>13</v>
      </c>
      <c r="I11" s="72">
        <v>13</v>
      </c>
      <c r="J11" s="72">
        <v>29</v>
      </c>
      <c r="K11" s="72">
        <v>13</v>
      </c>
    </row>
    <row r="12" spans="1:11" ht="15" customHeight="1" x14ac:dyDescent="0.2">
      <c r="A12" s="154" t="s">
        <v>63</v>
      </c>
      <c r="B12" s="166">
        <v>195</v>
      </c>
      <c r="C12" s="166">
        <v>334</v>
      </c>
      <c r="D12" s="166">
        <v>137</v>
      </c>
      <c r="E12" s="166">
        <v>264</v>
      </c>
      <c r="F12" s="166">
        <v>383</v>
      </c>
      <c r="G12" s="166">
        <v>371</v>
      </c>
      <c r="H12" s="166">
        <v>183</v>
      </c>
      <c r="I12" s="166">
        <v>319</v>
      </c>
      <c r="J12" s="166">
        <v>208</v>
      </c>
      <c r="K12" s="166">
        <v>390</v>
      </c>
    </row>
    <row r="13" spans="1:11" ht="15" customHeight="1" x14ac:dyDescent="0.2">
      <c r="A13" s="3" t="s">
        <v>114</v>
      </c>
      <c r="B13" s="72">
        <v>0</v>
      </c>
      <c r="C13" s="72">
        <v>0</v>
      </c>
      <c r="D13" s="72">
        <v>0</v>
      </c>
      <c r="E13" s="72">
        <v>1</v>
      </c>
      <c r="F13" s="72">
        <v>0</v>
      </c>
      <c r="G13" s="72">
        <v>0</v>
      </c>
      <c r="H13" s="72">
        <v>0</v>
      </c>
      <c r="I13" s="72">
        <v>0</v>
      </c>
      <c r="J13" s="72">
        <v>0</v>
      </c>
      <c r="K13" s="72">
        <v>0</v>
      </c>
    </row>
    <row r="14" spans="1:11" ht="15" customHeight="1" x14ac:dyDescent="0.2">
      <c r="A14" s="154" t="s">
        <v>64</v>
      </c>
      <c r="B14" s="166">
        <v>0</v>
      </c>
      <c r="C14" s="166">
        <v>0</v>
      </c>
      <c r="D14" s="166">
        <v>0</v>
      </c>
      <c r="E14" s="166">
        <v>0</v>
      </c>
      <c r="F14" s="166">
        <v>2</v>
      </c>
      <c r="G14" s="166">
        <v>1</v>
      </c>
      <c r="H14" s="166">
        <v>0</v>
      </c>
      <c r="I14" s="166">
        <v>3</v>
      </c>
      <c r="J14" s="166">
        <v>0</v>
      </c>
      <c r="K14" s="166">
        <v>0</v>
      </c>
    </row>
    <row r="15" spans="1:11" ht="15" customHeight="1" x14ac:dyDescent="0.2">
      <c r="A15" s="3" t="s">
        <v>65</v>
      </c>
      <c r="B15" s="72">
        <v>0</v>
      </c>
      <c r="C15" s="72">
        <v>0</v>
      </c>
      <c r="D15" s="72">
        <v>3</v>
      </c>
      <c r="E15" s="72">
        <v>0</v>
      </c>
      <c r="F15" s="72">
        <v>6</v>
      </c>
      <c r="G15" s="72">
        <v>0</v>
      </c>
      <c r="H15" s="72">
        <v>4</v>
      </c>
      <c r="I15" s="72">
        <v>0</v>
      </c>
      <c r="J15" s="72">
        <v>2</v>
      </c>
      <c r="K15" s="72">
        <v>2</v>
      </c>
    </row>
    <row r="16" spans="1:11" ht="15" customHeight="1" x14ac:dyDescent="0.2">
      <c r="A16" s="154" t="s">
        <v>66</v>
      </c>
      <c r="B16" s="166">
        <v>14</v>
      </c>
      <c r="C16" s="166">
        <v>8</v>
      </c>
      <c r="D16" s="166">
        <v>10</v>
      </c>
      <c r="E16" s="166">
        <v>8</v>
      </c>
      <c r="F16" s="166">
        <v>45</v>
      </c>
      <c r="G16" s="166">
        <v>9</v>
      </c>
      <c r="H16" s="166">
        <v>7</v>
      </c>
      <c r="I16" s="166">
        <v>7</v>
      </c>
      <c r="J16" s="166">
        <v>11</v>
      </c>
      <c r="K16" s="166">
        <v>3</v>
      </c>
    </row>
    <row r="17" spans="1:11" ht="15" customHeight="1" x14ac:dyDescent="0.2">
      <c r="A17" s="3" t="s">
        <v>115</v>
      </c>
      <c r="B17" s="72">
        <v>12</v>
      </c>
      <c r="C17" s="72">
        <v>15</v>
      </c>
      <c r="D17" s="72">
        <v>6</v>
      </c>
      <c r="E17" s="72">
        <v>21</v>
      </c>
      <c r="F17" s="72">
        <v>3</v>
      </c>
      <c r="G17" s="72">
        <v>14</v>
      </c>
      <c r="H17" s="72">
        <v>14</v>
      </c>
      <c r="I17" s="72">
        <v>14</v>
      </c>
      <c r="J17" s="72">
        <v>7</v>
      </c>
      <c r="K17" s="72">
        <v>14</v>
      </c>
    </row>
    <row r="18" spans="1:11" ht="15" customHeight="1" x14ac:dyDescent="0.2">
      <c r="A18" s="154" t="s">
        <v>116</v>
      </c>
      <c r="B18" s="166">
        <v>0</v>
      </c>
      <c r="C18" s="166">
        <v>0</v>
      </c>
      <c r="D18" s="166">
        <v>0</v>
      </c>
      <c r="E18" s="166">
        <v>1</v>
      </c>
      <c r="F18" s="166">
        <v>0</v>
      </c>
      <c r="G18" s="166">
        <v>0</v>
      </c>
      <c r="H18" s="166">
        <v>1</v>
      </c>
      <c r="I18" s="166">
        <v>0</v>
      </c>
      <c r="J18" s="166">
        <v>0</v>
      </c>
      <c r="K18" s="166">
        <v>1</v>
      </c>
    </row>
    <row r="19" spans="1:11" ht="15" customHeight="1" x14ac:dyDescent="0.2">
      <c r="A19" s="3" t="s">
        <v>70</v>
      </c>
      <c r="B19" s="72">
        <v>30</v>
      </c>
      <c r="C19" s="72">
        <v>3</v>
      </c>
      <c r="D19" s="72">
        <v>11</v>
      </c>
      <c r="E19" s="72">
        <v>7</v>
      </c>
      <c r="F19" s="72">
        <v>65</v>
      </c>
      <c r="G19" s="72">
        <v>16</v>
      </c>
      <c r="H19" s="72">
        <v>86</v>
      </c>
      <c r="I19" s="72">
        <v>13</v>
      </c>
      <c r="J19" s="72">
        <v>35</v>
      </c>
      <c r="K19" s="72">
        <v>13</v>
      </c>
    </row>
    <row r="20" spans="1:11" ht="15" customHeight="1" x14ac:dyDescent="0.2">
      <c r="A20" s="154" t="s">
        <v>117</v>
      </c>
      <c r="B20" s="166">
        <v>0</v>
      </c>
      <c r="C20" s="166">
        <v>9</v>
      </c>
      <c r="D20" s="166">
        <v>0</v>
      </c>
      <c r="E20" s="166">
        <v>6</v>
      </c>
      <c r="F20" s="166">
        <v>0</v>
      </c>
      <c r="G20" s="166">
        <v>8</v>
      </c>
      <c r="H20" s="166">
        <v>2</v>
      </c>
      <c r="I20" s="166">
        <v>7</v>
      </c>
      <c r="J20" s="166">
        <v>0</v>
      </c>
      <c r="K20" s="166">
        <v>10</v>
      </c>
    </row>
    <row r="21" spans="1:11" ht="15" customHeight="1" x14ac:dyDescent="0.2">
      <c r="A21" s="3" t="s">
        <v>118</v>
      </c>
      <c r="B21" s="72">
        <v>0</v>
      </c>
      <c r="C21" s="72">
        <v>0</v>
      </c>
      <c r="D21" s="72">
        <v>0</v>
      </c>
      <c r="E21" s="72">
        <v>0</v>
      </c>
      <c r="F21" s="72">
        <v>0</v>
      </c>
      <c r="G21" s="72">
        <v>0</v>
      </c>
      <c r="H21" s="72">
        <v>0</v>
      </c>
      <c r="I21" s="72">
        <v>0</v>
      </c>
      <c r="J21" s="72">
        <v>0</v>
      </c>
      <c r="K21" s="72">
        <v>0</v>
      </c>
    </row>
    <row r="22" spans="1:11" ht="15" customHeight="1" x14ac:dyDescent="0.2">
      <c r="A22" s="154" t="s">
        <v>119</v>
      </c>
      <c r="B22" s="166">
        <v>0</v>
      </c>
      <c r="C22" s="166">
        <v>0</v>
      </c>
      <c r="D22" s="166">
        <v>0</v>
      </c>
      <c r="E22" s="166">
        <v>0</v>
      </c>
      <c r="F22" s="166">
        <v>0</v>
      </c>
      <c r="G22" s="166">
        <v>0</v>
      </c>
      <c r="H22" s="166">
        <v>0</v>
      </c>
      <c r="I22" s="166">
        <v>0</v>
      </c>
      <c r="J22" s="166">
        <v>0</v>
      </c>
      <c r="K22" s="166">
        <v>0</v>
      </c>
    </row>
    <row r="23" spans="1:11" ht="15" customHeight="1" x14ac:dyDescent="0.2">
      <c r="A23" s="3" t="s">
        <v>74</v>
      </c>
      <c r="B23" s="72">
        <v>0</v>
      </c>
      <c r="C23" s="72">
        <v>1</v>
      </c>
      <c r="D23" s="72">
        <v>0</v>
      </c>
      <c r="E23" s="72">
        <v>4</v>
      </c>
      <c r="F23" s="72">
        <v>0</v>
      </c>
      <c r="G23" s="72">
        <v>3</v>
      </c>
      <c r="H23" s="72">
        <v>0</v>
      </c>
      <c r="I23" s="72">
        <v>2</v>
      </c>
      <c r="J23" s="72">
        <v>0</v>
      </c>
      <c r="K23" s="72">
        <v>1</v>
      </c>
    </row>
    <row r="24" spans="1:11" ht="15" customHeight="1" x14ac:dyDescent="0.2">
      <c r="A24" s="154" t="s">
        <v>75</v>
      </c>
      <c r="B24" s="166">
        <v>53</v>
      </c>
      <c r="C24" s="166">
        <v>68</v>
      </c>
      <c r="D24" s="166">
        <v>107</v>
      </c>
      <c r="E24" s="166">
        <v>39</v>
      </c>
      <c r="F24" s="166">
        <v>87</v>
      </c>
      <c r="G24" s="166">
        <v>50</v>
      </c>
      <c r="H24" s="166">
        <v>43</v>
      </c>
      <c r="I24" s="166">
        <v>57</v>
      </c>
      <c r="J24" s="166">
        <v>82</v>
      </c>
      <c r="K24" s="166">
        <v>71</v>
      </c>
    </row>
    <row r="25" spans="1:11" ht="15" customHeight="1" x14ac:dyDescent="0.2">
      <c r="A25" s="3" t="s">
        <v>77</v>
      </c>
      <c r="B25" s="72">
        <v>52</v>
      </c>
      <c r="C25" s="72">
        <v>35</v>
      </c>
      <c r="D25" s="72">
        <v>16</v>
      </c>
      <c r="E25" s="72">
        <v>44</v>
      </c>
      <c r="F25" s="72">
        <v>89</v>
      </c>
      <c r="G25" s="72">
        <v>27</v>
      </c>
      <c r="H25" s="72">
        <v>76</v>
      </c>
      <c r="I25" s="72">
        <v>42</v>
      </c>
      <c r="J25" s="72">
        <v>123</v>
      </c>
      <c r="K25" s="72">
        <v>36</v>
      </c>
    </row>
    <row r="26" spans="1:11" ht="15" customHeight="1" x14ac:dyDescent="0.2">
      <c r="A26" s="154" t="s">
        <v>78</v>
      </c>
      <c r="B26" s="166">
        <v>30</v>
      </c>
      <c r="C26" s="166">
        <v>46</v>
      </c>
      <c r="D26" s="166">
        <v>6</v>
      </c>
      <c r="E26" s="166">
        <v>27</v>
      </c>
      <c r="F26" s="166">
        <v>97</v>
      </c>
      <c r="G26" s="166">
        <v>43</v>
      </c>
      <c r="H26" s="166">
        <v>67</v>
      </c>
      <c r="I26" s="166">
        <v>44</v>
      </c>
      <c r="J26" s="166">
        <v>32</v>
      </c>
      <c r="K26" s="166">
        <v>35</v>
      </c>
    </row>
    <row r="27" spans="1:11" ht="15" customHeight="1" x14ac:dyDescent="0.2">
      <c r="A27" s="3" t="s">
        <v>79</v>
      </c>
      <c r="B27" s="72">
        <v>0</v>
      </c>
      <c r="C27" s="72">
        <v>3</v>
      </c>
      <c r="D27" s="72">
        <v>0</v>
      </c>
      <c r="E27" s="72">
        <v>5</v>
      </c>
      <c r="F27" s="72">
        <v>0</v>
      </c>
      <c r="G27" s="72">
        <v>0</v>
      </c>
      <c r="H27" s="72">
        <v>0</v>
      </c>
      <c r="I27" s="72">
        <v>1</v>
      </c>
      <c r="J27" s="72">
        <v>0</v>
      </c>
      <c r="K27" s="72">
        <v>2</v>
      </c>
    </row>
    <row r="28" spans="1:11" ht="15" customHeight="1" x14ac:dyDescent="0.2">
      <c r="A28" s="154" t="s">
        <v>123</v>
      </c>
      <c r="B28" s="166">
        <v>77</v>
      </c>
      <c r="C28" s="166">
        <v>62</v>
      </c>
      <c r="D28" s="166">
        <v>51</v>
      </c>
      <c r="E28" s="166">
        <v>55</v>
      </c>
      <c r="F28" s="166">
        <v>113</v>
      </c>
      <c r="G28" s="166">
        <v>67</v>
      </c>
      <c r="H28" s="166">
        <v>52</v>
      </c>
      <c r="I28" s="166">
        <v>60</v>
      </c>
      <c r="J28" s="166">
        <v>45</v>
      </c>
      <c r="K28" s="166">
        <v>76</v>
      </c>
    </row>
    <row r="29" spans="1:11" ht="15" customHeight="1" x14ac:dyDescent="0.2">
      <c r="A29" s="3" t="s">
        <v>82</v>
      </c>
      <c r="B29" s="72">
        <v>120</v>
      </c>
      <c r="C29" s="72">
        <v>35</v>
      </c>
      <c r="D29" s="72">
        <v>125</v>
      </c>
      <c r="E29" s="72">
        <v>29</v>
      </c>
      <c r="F29" s="72">
        <v>199</v>
      </c>
      <c r="G29" s="72">
        <v>45</v>
      </c>
      <c r="H29" s="72">
        <v>111</v>
      </c>
      <c r="I29" s="72">
        <v>37</v>
      </c>
      <c r="J29" s="72">
        <v>172</v>
      </c>
      <c r="K29" s="72">
        <v>35</v>
      </c>
    </row>
    <row r="30" spans="1:11" ht="15" customHeight="1" x14ac:dyDescent="0.2">
      <c r="A30" s="154" t="s">
        <v>84</v>
      </c>
      <c r="B30" s="166">
        <v>0</v>
      </c>
      <c r="C30" s="166">
        <v>0</v>
      </c>
      <c r="D30" s="166">
        <v>0</v>
      </c>
      <c r="E30" s="166">
        <v>0</v>
      </c>
      <c r="F30" s="166">
        <v>0</v>
      </c>
      <c r="G30" s="166">
        <v>1</v>
      </c>
      <c r="H30" s="166">
        <v>0</v>
      </c>
      <c r="I30" s="166">
        <v>0</v>
      </c>
      <c r="J30" s="166">
        <v>0</v>
      </c>
      <c r="K30" s="166">
        <v>2</v>
      </c>
    </row>
    <row r="31" spans="1:11" ht="15" customHeight="1" x14ac:dyDescent="0.2">
      <c r="A31" s="3" t="s">
        <v>86</v>
      </c>
      <c r="B31" s="72">
        <v>0</v>
      </c>
      <c r="C31" s="72">
        <v>1</v>
      </c>
      <c r="D31" s="72">
        <v>0</v>
      </c>
      <c r="E31" s="72">
        <v>1</v>
      </c>
      <c r="F31" s="72">
        <v>0</v>
      </c>
      <c r="G31" s="72">
        <v>2</v>
      </c>
      <c r="H31" s="72">
        <v>0</v>
      </c>
      <c r="I31" s="72">
        <v>0</v>
      </c>
      <c r="J31" s="72">
        <v>0</v>
      </c>
      <c r="K31" s="72">
        <v>2</v>
      </c>
    </row>
    <row r="32" spans="1:11" ht="15" customHeight="1" x14ac:dyDescent="0.2">
      <c r="A32" s="154" t="s">
        <v>87</v>
      </c>
      <c r="B32" s="166">
        <v>0</v>
      </c>
      <c r="C32" s="166">
        <v>1</v>
      </c>
      <c r="D32" s="166">
        <v>0</v>
      </c>
      <c r="E32" s="166">
        <v>0</v>
      </c>
      <c r="F32" s="166">
        <v>0</v>
      </c>
      <c r="G32" s="166">
        <v>0</v>
      </c>
      <c r="H32" s="166">
        <v>0</v>
      </c>
      <c r="I32" s="166">
        <v>1</v>
      </c>
      <c r="J32" s="166">
        <v>0</v>
      </c>
      <c r="K32" s="166">
        <v>0</v>
      </c>
    </row>
    <row r="33" spans="1:11" ht="15" customHeight="1" x14ac:dyDescent="0.2">
      <c r="A33" s="3" t="s">
        <v>88</v>
      </c>
      <c r="B33" s="72">
        <v>0</v>
      </c>
      <c r="C33" s="72">
        <v>1</v>
      </c>
      <c r="D33" s="72">
        <v>0</v>
      </c>
      <c r="E33" s="72">
        <v>0</v>
      </c>
      <c r="F33" s="72">
        <v>0</v>
      </c>
      <c r="G33" s="72">
        <v>0</v>
      </c>
      <c r="H33" s="72">
        <v>0</v>
      </c>
      <c r="I33" s="72">
        <v>0</v>
      </c>
      <c r="J33" s="72">
        <v>0</v>
      </c>
      <c r="K33" s="72">
        <v>0</v>
      </c>
    </row>
    <row r="34" spans="1:11" ht="15" customHeight="1" x14ac:dyDescent="0.2">
      <c r="A34" s="154" t="s">
        <v>89</v>
      </c>
      <c r="B34" s="166">
        <v>0</v>
      </c>
      <c r="C34" s="166">
        <v>1</v>
      </c>
      <c r="D34" s="166">
        <v>0</v>
      </c>
      <c r="E34" s="166">
        <v>0</v>
      </c>
      <c r="F34" s="166">
        <v>0</v>
      </c>
      <c r="G34" s="166">
        <v>1</v>
      </c>
      <c r="H34" s="166">
        <v>0</v>
      </c>
      <c r="I34" s="166">
        <v>0</v>
      </c>
      <c r="J34" s="166">
        <v>0</v>
      </c>
      <c r="K34" s="166">
        <v>1</v>
      </c>
    </row>
    <row r="35" spans="1:11" ht="15" customHeight="1" x14ac:dyDescent="0.2">
      <c r="A35" s="3" t="s">
        <v>120</v>
      </c>
      <c r="B35" s="72">
        <v>0</v>
      </c>
      <c r="C35" s="72">
        <v>0</v>
      </c>
      <c r="D35" s="72">
        <v>0</v>
      </c>
      <c r="E35" s="72">
        <v>0</v>
      </c>
      <c r="F35" s="72">
        <v>0</v>
      </c>
      <c r="G35" s="72">
        <v>0</v>
      </c>
      <c r="H35" s="72">
        <v>0</v>
      </c>
      <c r="I35" s="72">
        <v>0</v>
      </c>
      <c r="J35" s="72">
        <v>0</v>
      </c>
      <c r="K35" s="72">
        <v>0</v>
      </c>
    </row>
    <row r="36" spans="1:11" ht="15" customHeight="1" x14ac:dyDescent="0.2">
      <c r="A36" s="154" t="s">
        <v>121</v>
      </c>
      <c r="B36" s="166">
        <v>0</v>
      </c>
      <c r="C36" s="166">
        <v>0</v>
      </c>
      <c r="D36" s="166">
        <v>0</v>
      </c>
      <c r="E36" s="166">
        <v>0</v>
      </c>
      <c r="F36" s="166">
        <v>0</v>
      </c>
      <c r="G36" s="166">
        <v>0</v>
      </c>
      <c r="H36" s="166">
        <v>0</v>
      </c>
      <c r="I36" s="166">
        <v>0</v>
      </c>
      <c r="J36" s="166">
        <v>0</v>
      </c>
      <c r="K36" s="166">
        <v>0</v>
      </c>
    </row>
    <row r="37" spans="1:11" ht="15" customHeight="1" x14ac:dyDescent="0.2">
      <c r="A37" s="3" t="s">
        <v>90</v>
      </c>
      <c r="B37" s="72">
        <v>66</v>
      </c>
      <c r="C37" s="72">
        <v>39</v>
      </c>
      <c r="D37" s="72">
        <v>21</v>
      </c>
      <c r="E37" s="72">
        <v>38</v>
      </c>
      <c r="F37" s="72">
        <v>102</v>
      </c>
      <c r="G37" s="72">
        <v>32</v>
      </c>
      <c r="H37" s="72">
        <v>58</v>
      </c>
      <c r="I37" s="72">
        <v>39</v>
      </c>
      <c r="J37" s="72">
        <v>68</v>
      </c>
      <c r="K37" s="72">
        <v>36</v>
      </c>
    </row>
    <row r="38" spans="1:11" ht="15" customHeight="1" x14ac:dyDescent="0.2">
      <c r="A38" s="154" t="s">
        <v>91</v>
      </c>
      <c r="B38" s="166">
        <v>66</v>
      </c>
      <c r="C38" s="166">
        <v>58</v>
      </c>
      <c r="D38" s="166">
        <v>56</v>
      </c>
      <c r="E38" s="166">
        <v>40</v>
      </c>
      <c r="F38" s="166">
        <v>146</v>
      </c>
      <c r="G38" s="166">
        <v>58</v>
      </c>
      <c r="H38" s="166">
        <v>98</v>
      </c>
      <c r="I38" s="166">
        <v>48</v>
      </c>
      <c r="J38" s="166">
        <v>135</v>
      </c>
      <c r="K38" s="166">
        <v>74</v>
      </c>
    </row>
    <row r="39" spans="1:11" ht="15" customHeight="1" x14ac:dyDescent="0.2">
      <c r="A39" s="3" t="s">
        <v>92</v>
      </c>
      <c r="B39" s="72">
        <v>145</v>
      </c>
      <c r="C39" s="72">
        <v>96</v>
      </c>
      <c r="D39" s="72">
        <v>148</v>
      </c>
      <c r="E39" s="72">
        <v>71</v>
      </c>
      <c r="F39" s="72">
        <v>206</v>
      </c>
      <c r="G39" s="72">
        <v>77</v>
      </c>
      <c r="H39" s="72">
        <v>186</v>
      </c>
      <c r="I39" s="72">
        <v>97</v>
      </c>
      <c r="J39" s="72">
        <v>238</v>
      </c>
      <c r="K39" s="72">
        <v>103</v>
      </c>
    </row>
    <row r="40" spans="1:11" ht="15" customHeight="1" x14ac:dyDescent="0.2">
      <c r="A40" s="154" t="s">
        <v>93</v>
      </c>
      <c r="B40" s="166">
        <v>0</v>
      </c>
      <c r="C40" s="166">
        <v>0</v>
      </c>
      <c r="D40" s="166">
        <v>3</v>
      </c>
      <c r="E40" s="166">
        <v>0</v>
      </c>
      <c r="F40" s="166">
        <v>1</v>
      </c>
      <c r="G40" s="166">
        <v>0</v>
      </c>
      <c r="H40" s="166">
        <v>0</v>
      </c>
      <c r="I40" s="166">
        <v>0</v>
      </c>
      <c r="J40" s="166">
        <v>0</v>
      </c>
      <c r="K40" s="166">
        <v>0</v>
      </c>
    </row>
    <row r="41" spans="1:11" ht="15" customHeight="1" thickBot="1" x14ac:dyDescent="0.25">
      <c r="A41" s="73" t="s">
        <v>94</v>
      </c>
      <c r="B41" s="283">
        <v>2</v>
      </c>
      <c r="C41" s="283">
        <v>17</v>
      </c>
      <c r="D41" s="283">
        <v>3</v>
      </c>
      <c r="E41" s="283">
        <v>12</v>
      </c>
      <c r="F41" s="283">
        <v>16</v>
      </c>
      <c r="G41" s="283">
        <v>2</v>
      </c>
      <c r="H41" s="283">
        <v>10</v>
      </c>
      <c r="I41" s="283">
        <v>7</v>
      </c>
      <c r="J41" s="283">
        <v>8</v>
      </c>
      <c r="K41" s="283">
        <v>13</v>
      </c>
    </row>
    <row r="42" spans="1:11" ht="11.25" customHeight="1" thickTop="1" x14ac:dyDescent="0.2">
      <c r="A42" s="127"/>
      <c r="B42" s="260"/>
      <c r="C42" s="260"/>
      <c r="D42" s="260"/>
      <c r="E42" s="260"/>
      <c r="F42" s="260"/>
      <c r="G42" s="260"/>
      <c r="H42" s="260"/>
      <c r="I42" s="260"/>
      <c r="J42" s="260"/>
      <c r="K42" s="260"/>
    </row>
    <row r="43" spans="1:11" ht="12.75" customHeight="1" x14ac:dyDescent="0.25">
      <c r="A43" s="132" t="s">
        <v>226</v>
      </c>
      <c r="B43" s="194">
        <v>990</v>
      </c>
      <c r="C43" s="194">
        <v>1030</v>
      </c>
      <c r="D43" s="194">
        <v>759</v>
      </c>
      <c r="E43" s="194">
        <v>890</v>
      </c>
      <c r="F43" s="194">
        <v>1763</v>
      </c>
      <c r="G43" s="194">
        <v>1035</v>
      </c>
      <c r="H43" s="194">
        <v>1138</v>
      </c>
      <c r="I43" s="194">
        <v>987</v>
      </c>
      <c r="J43" s="194">
        <v>1327</v>
      </c>
      <c r="K43" s="194">
        <v>1105</v>
      </c>
    </row>
    <row r="44" spans="1:11" ht="4.5" customHeight="1" x14ac:dyDescent="0.2">
      <c r="A44" s="131"/>
      <c r="B44" s="260"/>
      <c r="C44" s="260"/>
      <c r="D44" s="260"/>
      <c r="E44" s="260"/>
      <c r="F44" s="260"/>
      <c r="G44" s="260"/>
      <c r="H44" s="260"/>
      <c r="I44" s="260"/>
      <c r="J44" s="260"/>
      <c r="K44" s="260"/>
    </row>
    <row r="45" spans="1:11" ht="15.75" thickBot="1" x14ac:dyDescent="0.3">
      <c r="A45" s="111" t="s">
        <v>227</v>
      </c>
      <c r="B45" s="412">
        <v>2020</v>
      </c>
      <c r="C45" s="403"/>
      <c r="D45" s="412">
        <v>1649</v>
      </c>
      <c r="E45" s="403"/>
      <c r="F45" s="412">
        <v>2798</v>
      </c>
      <c r="G45" s="403"/>
      <c r="H45" s="412">
        <v>2125</v>
      </c>
      <c r="I45" s="403"/>
      <c r="J45" s="412">
        <v>2432</v>
      </c>
      <c r="K45" s="403"/>
    </row>
    <row r="46" spans="1:11" ht="15" x14ac:dyDescent="0.2">
      <c r="A46" s="44"/>
      <c r="C46" s="264"/>
      <c r="E46" s="264"/>
      <c r="G46" s="264"/>
      <c r="I46" s="264"/>
      <c r="K46" s="264" t="s">
        <v>207</v>
      </c>
    </row>
  </sheetData>
  <mergeCells count="10">
    <mergeCell ref="B3:C3"/>
    <mergeCell ref="B45:C45"/>
    <mergeCell ref="J3:K3"/>
    <mergeCell ref="J45:K45"/>
    <mergeCell ref="D3:E3"/>
    <mergeCell ref="D45:E45"/>
    <mergeCell ref="H3:I3"/>
    <mergeCell ref="H45:I45"/>
    <mergeCell ref="F3:G3"/>
    <mergeCell ref="F45:G45"/>
  </mergeCells>
  <phoneticPr fontId="0" type="noConversion"/>
  <pageMargins left="0.75" right="0.75" top="1" bottom="1" header="0.5" footer="0.5"/>
  <pageSetup paperSize="9" scale="91"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4"/>
  <sheetViews>
    <sheetView showGridLines="0" workbookViewId="0">
      <selection activeCell="K9" sqref="K9"/>
    </sheetView>
  </sheetViews>
  <sheetFormatPr defaultRowHeight="12.75" x14ac:dyDescent="0.2"/>
  <cols>
    <col min="1" max="1" width="17.7109375" style="5" customWidth="1"/>
    <col min="2" max="4" width="11.140625" style="5" customWidth="1"/>
    <col min="5" max="5" width="14" style="5" customWidth="1"/>
    <col min="6" max="6" width="10.85546875" style="5" customWidth="1"/>
    <col min="7" max="8" width="10.7109375" style="5" customWidth="1"/>
    <col min="9" max="9" width="13.85546875" style="5" customWidth="1"/>
    <col min="10" max="10" width="14.42578125" style="5" customWidth="1"/>
    <col min="11" max="16384" width="9.140625" style="5"/>
  </cols>
  <sheetData>
    <row r="1" spans="1:11" s="127" customFormat="1" ht="15" x14ac:dyDescent="0.25">
      <c r="A1" s="130" t="s">
        <v>397</v>
      </c>
      <c r="B1" s="132"/>
      <c r="C1" s="132"/>
      <c r="D1" s="132"/>
      <c r="E1" s="134"/>
      <c r="F1" s="135"/>
      <c r="G1" s="135"/>
      <c r="H1" s="135"/>
    </row>
    <row r="2" spans="1:11" ht="15.75" customHeight="1" thickBot="1" x14ac:dyDescent="0.25">
      <c r="A2" s="8"/>
      <c r="B2" s="9"/>
      <c r="C2" s="9"/>
      <c r="D2" s="10"/>
      <c r="E2" s="12"/>
      <c r="F2" s="13"/>
      <c r="G2" s="13"/>
      <c r="H2" s="13"/>
      <c r="I2" s="11"/>
      <c r="J2" s="7"/>
      <c r="K2" s="7"/>
    </row>
    <row r="3" spans="1:11" ht="31.5" customHeight="1" x14ac:dyDescent="0.2">
      <c r="A3" s="178"/>
      <c r="B3" s="413" t="s">
        <v>122</v>
      </c>
      <c r="C3" s="414"/>
      <c r="D3" s="415"/>
      <c r="E3" s="175" t="s">
        <v>251</v>
      </c>
      <c r="F3" s="413" t="s">
        <v>174</v>
      </c>
      <c r="G3" s="414"/>
      <c r="H3" s="415"/>
      <c r="I3" s="193" t="s">
        <v>254</v>
      </c>
      <c r="J3" s="192" t="s">
        <v>230</v>
      </c>
    </row>
    <row r="4" spans="1:11" ht="17.25" customHeight="1" x14ac:dyDescent="0.2">
      <c r="A4" s="66" t="s">
        <v>95</v>
      </c>
      <c r="B4" s="74" t="s">
        <v>390</v>
      </c>
      <c r="C4" s="61" t="s">
        <v>391</v>
      </c>
      <c r="D4" s="61" t="s">
        <v>392</v>
      </c>
      <c r="E4" s="198" t="s">
        <v>388</v>
      </c>
      <c r="F4" s="74" t="s">
        <v>390</v>
      </c>
      <c r="G4" s="61" t="s">
        <v>391</v>
      </c>
      <c r="H4" s="61" t="s">
        <v>392</v>
      </c>
      <c r="I4" s="198" t="s">
        <v>388</v>
      </c>
      <c r="J4" s="187" t="s">
        <v>399</v>
      </c>
      <c r="K4" s="18"/>
    </row>
    <row r="5" spans="1:11" ht="15" customHeight="1" x14ac:dyDescent="0.2">
      <c r="A5" s="62" t="s">
        <v>102</v>
      </c>
      <c r="B5" s="75">
        <v>0</v>
      </c>
      <c r="C5" s="72">
        <v>0</v>
      </c>
      <c r="D5" s="68">
        <v>0</v>
      </c>
      <c r="E5" s="67">
        <v>0</v>
      </c>
      <c r="F5" s="76">
        <v>0</v>
      </c>
      <c r="G5" s="72">
        <v>0</v>
      </c>
      <c r="H5" s="68">
        <v>0</v>
      </c>
      <c r="I5" s="67">
        <v>0</v>
      </c>
      <c r="J5" s="58">
        <v>0</v>
      </c>
    </row>
    <row r="6" spans="1:11" ht="15" customHeight="1" x14ac:dyDescent="0.2">
      <c r="A6" s="165" t="s">
        <v>113</v>
      </c>
      <c r="B6" s="166">
        <v>0</v>
      </c>
      <c r="C6" s="166">
        <v>0</v>
      </c>
      <c r="D6" s="158">
        <v>0</v>
      </c>
      <c r="E6" s="157">
        <v>0</v>
      </c>
      <c r="F6" s="167">
        <v>0</v>
      </c>
      <c r="G6" s="166">
        <v>0</v>
      </c>
      <c r="H6" s="158">
        <v>1</v>
      </c>
      <c r="I6" s="157">
        <v>1</v>
      </c>
      <c r="J6" s="156">
        <v>1</v>
      </c>
    </row>
    <row r="7" spans="1:11" ht="15" customHeight="1" x14ac:dyDescent="0.2">
      <c r="A7" s="77" t="s">
        <v>56</v>
      </c>
      <c r="B7" s="72">
        <v>0</v>
      </c>
      <c r="C7" s="72">
        <v>0</v>
      </c>
      <c r="D7" s="68">
        <v>0</v>
      </c>
      <c r="E7" s="67">
        <v>0</v>
      </c>
      <c r="F7" s="76">
        <v>0</v>
      </c>
      <c r="G7" s="72">
        <v>0</v>
      </c>
      <c r="H7" s="68">
        <v>0</v>
      </c>
      <c r="I7" s="67">
        <v>0</v>
      </c>
      <c r="J7" s="58">
        <v>0</v>
      </c>
    </row>
    <row r="8" spans="1:11" ht="15" customHeight="1" x14ac:dyDescent="0.2">
      <c r="A8" s="165" t="s">
        <v>57</v>
      </c>
      <c r="B8" s="166">
        <v>15</v>
      </c>
      <c r="C8" s="166">
        <v>25</v>
      </c>
      <c r="D8" s="158">
        <v>92</v>
      </c>
      <c r="E8" s="157">
        <v>132</v>
      </c>
      <c r="F8" s="167">
        <v>61</v>
      </c>
      <c r="G8" s="166">
        <v>52</v>
      </c>
      <c r="H8" s="158">
        <v>58</v>
      </c>
      <c r="I8" s="157">
        <v>171</v>
      </c>
      <c r="J8" s="156">
        <v>303</v>
      </c>
    </row>
    <row r="9" spans="1:11" ht="15" customHeight="1" x14ac:dyDescent="0.2">
      <c r="A9" s="77" t="s">
        <v>249</v>
      </c>
      <c r="B9" s="72">
        <v>0</v>
      </c>
      <c r="C9" s="72">
        <v>0</v>
      </c>
      <c r="D9" s="68">
        <v>0</v>
      </c>
      <c r="E9" s="67">
        <v>0</v>
      </c>
      <c r="F9" s="76">
        <v>0</v>
      </c>
      <c r="G9" s="72">
        <v>0</v>
      </c>
      <c r="H9" s="68">
        <v>0</v>
      </c>
      <c r="I9" s="67">
        <v>0</v>
      </c>
      <c r="J9" s="58">
        <v>0</v>
      </c>
    </row>
    <row r="10" spans="1:11" ht="15" customHeight="1" x14ac:dyDescent="0.2">
      <c r="A10" s="165" t="s">
        <v>59</v>
      </c>
      <c r="B10" s="166">
        <v>0</v>
      </c>
      <c r="C10" s="166">
        <v>0</v>
      </c>
      <c r="D10" s="158">
        <v>0</v>
      </c>
      <c r="E10" s="157">
        <v>0</v>
      </c>
      <c r="F10" s="167">
        <v>0</v>
      </c>
      <c r="G10" s="166">
        <v>0</v>
      </c>
      <c r="H10" s="158">
        <v>0</v>
      </c>
      <c r="I10" s="157">
        <v>0</v>
      </c>
      <c r="J10" s="156">
        <v>0</v>
      </c>
    </row>
    <row r="11" spans="1:11" ht="15" customHeight="1" x14ac:dyDescent="0.2">
      <c r="A11" s="77" t="s">
        <v>62</v>
      </c>
      <c r="B11" s="72">
        <v>2</v>
      </c>
      <c r="C11" s="72">
        <v>4</v>
      </c>
      <c r="D11" s="68">
        <v>23</v>
      </c>
      <c r="E11" s="67">
        <v>29</v>
      </c>
      <c r="F11" s="76">
        <v>4</v>
      </c>
      <c r="G11" s="72">
        <v>5</v>
      </c>
      <c r="H11" s="68">
        <v>4</v>
      </c>
      <c r="I11" s="67">
        <v>13</v>
      </c>
      <c r="J11" s="58">
        <v>42</v>
      </c>
    </row>
    <row r="12" spans="1:11" ht="15" customHeight="1" x14ac:dyDescent="0.2">
      <c r="A12" s="165" t="s">
        <v>63</v>
      </c>
      <c r="B12" s="166">
        <v>70</v>
      </c>
      <c r="C12" s="166">
        <v>35</v>
      </c>
      <c r="D12" s="158">
        <v>103</v>
      </c>
      <c r="E12" s="157">
        <v>208</v>
      </c>
      <c r="F12" s="167">
        <v>140</v>
      </c>
      <c r="G12" s="166">
        <v>132</v>
      </c>
      <c r="H12" s="158">
        <v>118</v>
      </c>
      <c r="I12" s="157">
        <v>390</v>
      </c>
      <c r="J12" s="156">
        <v>598</v>
      </c>
    </row>
    <row r="13" spans="1:11" ht="15" customHeight="1" x14ac:dyDescent="0.2">
      <c r="A13" s="77" t="s">
        <v>114</v>
      </c>
      <c r="B13" s="72">
        <v>0</v>
      </c>
      <c r="C13" s="72">
        <v>0</v>
      </c>
      <c r="D13" s="68">
        <v>0</v>
      </c>
      <c r="E13" s="67">
        <v>0</v>
      </c>
      <c r="F13" s="76">
        <v>0</v>
      </c>
      <c r="G13" s="72">
        <v>0</v>
      </c>
      <c r="H13" s="68">
        <v>0</v>
      </c>
      <c r="I13" s="67">
        <v>0</v>
      </c>
      <c r="J13" s="58">
        <v>0</v>
      </c>
    </row>
    <row r="14" spans="1:11" ht="15" customHeight="1" x14ac:dyDescent="0.2">
      <c r="A14" s="165" t="s">
        <v>64</v>
      </c>
      <c r="B14" s="166">
        <v>0</v>
      </c>
      <c r="C14" s="166">
        <v>0</v>
      </c>
      <c r="D14" s="158">
        <v>0</v>
      </c>
      <c r="E14" s="157">
        <v>0</v>
      </c>
      <c r="F14" s="167">
        <v>0</v>
      </c>
      <c r="G14" s="166">
        <v>0</v>
      </c>
      <c r="H14" s="158">
        <v>0</v>
      </c>
      <c r="I14" s="157">
        <v>0</v>
      </c>
      <c r="J14" s="156">
        <v>0</v>
      </c>
    </row>
    <row r="15" spans="1:11" ht="15" customHeight="1" x14ac:dyDescent="0.2">
      <c r="A15" s="77" t="s">
        <v>65</v>
      </c>
      <c r="B15" s="72">
        <v>0</v>
      </c>
      <c r="C15" s="72">
        <v>1</v>
      </c>
      <c r="D15" s="68">
        <v>1</v>
      </c>
      <c r="E15" s="67">
        <v>2</v>
      </c>
      <c r="F15" s="76">
        <v>0</v>
      </c>
      <c r="G15" s="72">
        <v>2</v>
      </c>
      <c r="H15" s="68">
        <v>0</v>
      </c>
      <c r="I15" s="67">
        <v>2</v>
      </c>
      <c r="J15" s="58">
        <v>4</v>
      </c>
    </row>
    <row r="16" spans="1:11" ht="15" customHeight="1" x14ac:dyDescent="0.2">
      <c r="A16" s="165" t="s">
        <v>66</v>
      </c>
      <c r="B16" s="166">
        <v>2</v>
      </c>
      <c r="C16" s="166">
        <v>3</v>
      </c>
      <c r="D16" s="158">
        <v>6</v>
      </c>
      <c r="E16" s="157">
        <v>11</v>
      </c>
      <c r="F16" s="167">
        <v>1</v>
      </c>
      <c r="G16" s="166">
        <v>1</v>
      </c>
      <c r="H16" s="158">
        <v>1</v>
      </c>
      <c r="I16" s="157">
        <v>3</v>
      </c>
      <c r="J16" s="156">
        <v>14</v>
      </c>
    </row>
    <row r="17" spans="1:10" ht="15" customHeight="1" x14ac:dyDescent="0.2">
      <c r="A17" s="77" t="s">
        <v>115</v>
      </c>
      <c r="B17" s="72">
        <v>1</v>
      </c>
      <c r="C17" s="72">
        <v>1</v>
      </c>
      <c r="D17" s="68">
        <v>5</v>
      </c>
      <c r="E17" s="67">
        <v>7</v>
      </c>
      <c r="F17" s="76">
        <v>3</v>
      </c>
      <c r="G17" s="72">
        <v>8</v>
      </c>
      <c r="H17" s="68">
        <v>3</v>
      </c>
      <c r="I17" s="67">
        <v>14</v>
      </c>
      <c r="J17" s="58">
        <v>21</v>
      </c>
    </row>
    <row r="18" spans="1:10" ht="15" customHeight="1" x14ac:dyDescent="0.2">
      <c r="A18" s="165" t="s">
        <v>116</v>
      </c>
      <c r="B18" s="166">
        <v>0</v>
      </c>
      <c r="C18" s="166">
        <v>0</v>
      </c>
      <c r="D18" s="158">
        <v>0</v>
      </c>
      <c r="E18" s="157">
        <v>0</v>
      </c>
      <c r="F18" s="167">
        <v>0</v>
      </c>
      <c r="G18" s="166">
        <v>0</v>
      </c>
      <c r="H18" s="158">
        <v>1</v>
      </c>
      <c r="I18" s="157">
        <v>1</v>
      </c>
      <c r="J18" s="156">
        <v>1</v>
      </c>
    </row>
    <row r="19" spans="1:10" ht="15" customHeight="1" x14ac:dyDescent="0.2">
      <c r="A19" s="77" t="s">
        <v>70</v>
      </c>
      <c r="B19" s="72">
        <v>10</v>
      </c>
      <c r="C19" s="72">
        <v>8</v>
      </c>
      <c r="D19" s="68">
        <v>17</v>
      </c>
      <c r="E19" s="67">
        <v>35</v>
      </c>
      <c r="F19" s="76">
        <v>7</v>
      </c>
      <c r="G19" s="72">
        <v>3</v>
      </c>
      <c r="H19" s="68">
        <v>3</v>
      </c>
      <c r="I19" s="67">
        <v>13</v>
      </c>
      <c r="J19" s="58">
        <v>48</v>
      </c>
    </row>
    <row r="20" spans="1:10" ht="15" customHeight="1" x14ac:dyDescent="0.2">
      <c r="A20" s="165" t="s">
        <v>117</v>
      </c>
      <c r="B20" s="166">
        <v>0</v>
      </c>
      <c r="C20" s="166">
        <v>0</v>
      </c>
      <c r="D20" s="158">
        <v>0</v>
      </c>
      <c r="E20" s="157">
        <v>0</v>
      </c>
      <c r="F20" s="167">
        <v>5</v>
      </c>
      <c r="G20" s="166">
        <v>3</v>
      </c>
      <c r="H20" s="158">
        <v>2</v>
      </c>
      <c r="I20" s="157">
        <v>10</v>
      </c>
      <c r="J20" s="156">
        <v>10</v>
      </c>
    </row>
    <row r="21" spans="1:10" ht="15" customHeight="1" x14ac:dyDescent="0.2">
      <c r="A21" s="77" t="s">
        <v>118</v>
      </c>
      <c r="B21" s="72">
        <v>0</v>
      </c>
      <c r="C21" s="72">
        <v>0</v>
      </c>
      <c r="D21" s="68">
        <v>0</v>
      </c>
      <c r="E21" s="67">
        <v>0</v>
      </c>
      <c r="F21" s="76">
        <v>0</v>
      </c>
      <c r="G21" s="72">
        <v>0</v>
      </c>
      <c r="H21" s="68">
        <v>0</v>
      </c>
      <c r="I21" s="67">
        <v>0</v>
      </c>
      <c r="J21" s="58">
        <v>0</v>
      </c>
    </row>
    <row r="22" spans="1:10" ht="15" customHeight="1" x14ac:dyDescent="0.2">
      <c r="A22" s="165" t="s">
        <v>119</v>
      </c>
      <c r="B22" s="166">
        <v>0</v>
      </c>
      <c r="C22" s="166">
        <v>0</v>
      </c>
      <c r="D22" s="158">
        <v>0</v>
      </c>
      <c r="E22" s="157">
        <v>0</v>
      </c>
      <c r="F22" s="167">
        <v>0</v>
      </c>
      <c r="G22" s="166">
        <v>0</v>
      </c>
      <c r="H22" s="158">
        <v>0</v>
      </c>
      <c r="I22" s="157">
        <v>0</v>
      </c>
      <c r="J22" s="156">
        <v>0</v>
      </c>
    </row>
    <row r="23" spans="1:10" ht="15" customHeight="1" x14ac:dyDescent="0.2">
      <c r="A23" s="77" t="s">
        <v>74</v>
      </c>
      <c r="B23" s="72">
        <v>0</v>
      </c>
      <c r="C23" s="72">
        <v>0</v>
      </c>
      <c r="D23" s="68">
        <v>0</v>
      </c>
      <c r="E23" s="67">
        <v>0</v>
      </c>
      <c r="F23" s="76">
        <v>0</v>
      </c>
      <c r="G23" s="72">
        <v>0</v>
      </c>
      <c r="H23" s="68">
        <v>1</v>
      </c>
      <c r="I23" s="67">
        <v>1</v>
      </c>
      <c r="J23" s="58">
        <v>1</v>
      </c>
    </row>
    <row r="24" spans="1:10" ht="15" customHeight="1" x14ac:dyDescent="0.2">
      <c r="A24" s="165" t="s">
        <v>75</v>
      </c>
      <c r="B24" s="166">
        <v>29</v>
      </c>
      <c r="C24" s="166">
        <v>34</v>
      </c>
      <c r="D24" s="158">
        <v>19</v>
      </c>
      <c r="E24" s="157">
        <v>82</v>
      </c>
      <c r="F24" s="167">
        <v>14</v>
      </c>
      <c r="G24" s="166">
        <v>26</v>
      </c>
      <c r="H24" s="158">
        <v>31</v>
      </c>
      <c r="I24" s="157">
        <v>71</v>
      </c>
      <c r="J24" s="156">
        <v>153</v>
      </c>
    </row>
    <row r="25" spans="1:10" ht="15" customHeight="1" x14ac:dyDescent="0.2">
      <c r="A25" s="77" t="s">
        <v>77</v>
      </c>
      <c r="B25" s="72">
        <v>10</v>
      </c>
      <c r="C25" s="72">
        <v>58</v>
      </c>
      <c r="D25" s="68">
        <v>55</v>
      </c>
      <c r="E25" s="67">
        <v>123</v>
      </c>
      <c r="F25" s="76">
        <v>11</v>
      </c>
      <c r="G25" s="72">
        <v>14</v>
      </c>
      <c r="H25" s="68">
        <v>11</v>
      </c>
      <c r="I25" s="67">
        <v>36</v>
      </c>
      <c r="J25" s="58">
        <v>159</v>
      </c>
    </row>
    <row r="26" spans="1:10" ht="15" customHeight="1" x14ac:dyDescent="0.2">
      <c r="A26" s="165" t="s">
        <v>78</v>
      </c>
      <c r="B26" s="166">
        <v>5</v>
      </c>
      <c r="C26" s="166">
        <v>15</v>
      </c>
      <c r="D26" s="158">
        <v>12</v>
      </c>
      <c r="E26" s="157">
        <v>32</v>
      </c>
      <c r="F26" s="167">
        <v>9</v>
      </c>
      <c r="G26" s="166">
        <v>10</v>
      </c>
      <c r="H26" s="158">
        <v>16</v>
      </c>
      <c r="I26" s="157">
        <v>35</v>
      </c>
      <c r="J26" s="156">
        <v>67</v>
      </c>
    </row>
    <row r="27" spans="1:10" ht="15" customHeight="1" x14ac:dyDescent="0.2">
      <c r="A27" s="77" t="s">
        <v>79</v>
      </c>
      <c r="B27" s="72">
        <v>0</v>
      </c>
      <c r="C27" s="72">
        <v>0</v>
      </c>
      <c r="D27" s="68">
        <v>0</v>
      </c>
      <c r="E27" s="67">
        <v>0</v>
      </c>
      <c r="F27" s="76">
        <v>0</v>
      </c>
      <c r="G27" s="72">
        <v>1</v>
      </c>
      <c r="H27" s="68">
        <v>1</v>
      </c>
      <c r="I27" s="67">
        <v>2</v>
      </c>
      <c r="J27" s="58">
        <v>2</v>
      </c>
    </row>
    <row r="28" spans="1:10" ht="15" customHeight="1" x14ac:dyDescent="0.2">
      <c r="A28" s="165" t="s">
        <v>123</v>
      </c>
      <c r="B28" s="166">
        <v>24</v>
      </c>
      <c r="C28" s="166">
        <v>6</v>
      </c>
      <c r="D28" s="158">
        <v>15</v>
      </c>
      <c r="E28" s="157">
        <v>45</v>
      </c>
      <c r="F28" s="167">
        <v>23</v>
      </c>
      <c r="G28" s="166">
        <v>24</v>
      </c>
      <c r="H28" s="158">
        <v>29</v>
      </c>
      <c r="I28" s="157">
        <v>76</v>
      </c>
      <c r="J28" s="156">
        <v>121</v>
      </c>
    </row>
    <row r="29" spans="1:10" ht="15" customHeight="1" x14ac:dyDescent="0.2">
      <c r="A29" s="77" t="s">
        <v>82</v>
      </c>
      <c r="B29" s="72">
        <v>31</v>
      </c>
      <c r="C29" s="72">
        <v>25</v>
      </c>
      <c r="D29" s="68">
        <v>116</v>
      </c>
      <c r="E29" s="67">
        <v>172</v>
      </c>
      <c r="F29" s="76">
        <v>5</v>
      </c>
      <c r="G29" s="72">
        <v>14</v>
      </c>
      <c r="H29" s="68">
        <v>16</v>
      </c>
      <c r="I29" s="67">
        <v>35</v>
      </c>
      <c r="J29" s="58">
        <v>207</v>
      </c>
    </row>
    <row r="30" spans="1:10" ht="15" customHeight="1" x14ac:dyDescent="0.2">
      <c r="A30" s="165" t="s">
        <v>84</v>
      </c>
      <c r="B30" s="166">
        <v>0</v>
      </c>
      <c r="C30" s="166">
        <v>0</v>
      </c>
      <c r="D30" s="158">
        <v>0</v>
      </c>
      <c r="E30" s="157">
        <v>0</v>
      </c>
      <c r="F30" s="167">
        <v>1</v>
      </c>
      <c r="G30" s="166">
        <v>1</v>
      </c>
      <c r="H30" s="158">
        <v>0</v>
      </c>
      <c r="I30" s="157">
        <v>2</v>
      </c>
      <c r="J30" s="156">
        <v>2</v>
      </c>
    </row>
    <row r="31" spans="1:10" ht="15" customHeight="1" x14ac:dyDescent="0.2">
      <c r="A31" s="77" t="s">
        <v>86</v>
      </c>
      <c r="B31" s="72">
        <v>0</v>
      </c>
      <c r="C31" s="72">
        <v>0</v>
      </c>
      <c r="D31" s="68">
        <v>0</v>
      </c>
      <c r="E31" s="67">
        <v>0</v>
      </c>
      <c r="F31" s="76">
        <v>0</v>
      </c>
      <c r="G31" s="72">
        <v>1</v>
      </c>
      <c r="H31" s="68">
        <v>1</v>
      </c>
      <c r="I31" s="67">
        <v>2</v>
      </c>
      <c r="J31" s="58">
        <v>2</v>
      </c>
    </row>
    <row r="32" spans="1:10" ht="15" customHeight="1" x14ac:dyDescent="0.2">
      <c r="A32" s="165" t="s">
        <v>87</v>
      </c>
      <c r="B32" s="166">
        <v>0</v>
      </c>
      <c r="C32" s="166">
        <v>0</v>
      </c>
      <c r="D32" s="158">
        <v>0</v>
      </c>
      <c r="E32" s="157">
        <v>0</v>
      </c>
      <c r="F32" s="167">
        <v>0</v>
      </c>
      <c r="G32" s="166">
        <v>0</v>
      </c>
      <c r="H32" s="158">
        <v>0</v>
      </c>
      <c r="I32" s="157">
        <v>0</v>
      </c>
      <c r="J32" s="156">
        <v>0</v>
      </c>
    </row>
    <row r="33" spans="1:10" ht="15" customHeight="1" x14ac:dyDescent="0.2">
      <c r="A33" s="77" t="s">
        <v>88</v>
      </c>
      <c r="B33" s="72">
        <v>0</v>
      </c>
      <c r="C33" s="72">
        <v>0</v>
      </c>
      <c r="D33" s="68">
        <v>0</v>
      </c>
      <c r="E33" s="67">
        <v>0</v>
      </c>
      <c r="F33" s="76">
        <v>0</v>
      </c>
      <c r="G33" s="72">
        <v>0</v>
      </c>
      <c r="H33" s="68">
        <v>0</v>
      </c>
      <c r="I33" s="67">
        <v>0</v>
      </c>
      <c r="J33" s="58">
        <v>0</v>
      </c>
    </row>
    <row r="34" spans="1:10" ht="15" customHeight="1" x14ac:dyDescent="0.2">
      <c r="A34" s="165" t="s">
        <v>89</v>
      </c>
      <c r="B34" s="166">
        <v>0</v>
      </c>
      <c r="C34" s="166">
        <v>0</v>
      </c>
      <c r="D34" s="158">
        <v>0</v>
      </c>
      <c r="E34" s="157">
        <v>0</v>
      </c>
      <c r="F34" s="167">
        <v>0</v>
      </c>
      <c r="G34" s="166">
        <v>1</v>
      </c>
      <c r="H34" s="158">
        <v>0</v>
      </c>
      <c r="I34" s="157">
        <v>1</v>
      </c>
      <c r="J34" s="156">
        <v>1</v>
      </c>
    </row>
    <row r="35" spans="1:10" ht="15" customHeight="1" x14ac:dyDescent="0.2">
      <c r="A35" s="168" t="s">
        <v>120</v>
      </c>
      <c r="B35" s="169">
        <v>0</v>
      </c>
      <c r="C35" s="169">
        <v>0</v>
      </c>
      <c r="D35" s="170">
        <v>0</v>
      </c>
      <c r="E35" s="171">
        <v>0</v>
      </c>
      <c r="F35" s="172">
        <v>0</v>
      </c>
      <c r="G35" s="169">
        <v>0</v>
      </c>
      <c r="H35" s="170">
        <v>0</v>
      </c>
      <c r="I35" s="171">
        <v>0</v>
      </c>
      <c r="J35" s="58">
        <v>0</v>
      </c>
    </row>
    <row r="36" spans="1:10" ht="15" customHeight="1" x14ac:dyDescent="0.2">
      <c r="A36" s="165" t="s">
        <v>121</v>
      </c>
      <c r="B36" s="166">
        <v>0</v>
      </c>
      <c r="C36" s="166">
        <v>0</v>
      </c>
      <c r="D36" s="158">
        <v>0</v>
      </c>
      <c r="E36" s="157">
        <v>0</v>
      </c>
      <c r="F36" s="167">
        <v>0</v>
      </c>
      <c r="G36" s="166">
        <v>0</v>
      </c>
      <c r="H36" s="158">
        <v>0</v>
      </c>
      <c r="I36" s="157">
        <v>0</v>
      </c>
      <c r="J36" s="156">
        <v>0</v>
      </c>
    </row>
    <row r="37" spans="1:10" ht="15" customHeight="1" x14ac:dyDescent="0.2">
      <c r="A37" s="77" t="s">
        <v>90</v>
      </c>
      <c r="B37" s="72">
        <v>24</v>
      </c>
      <c r="C37" s="72">
        <v>15</v>
      </c>
      <c r="D37" s="68">
        <v>29</v>
      </c>
      <c r="E37" s="67">
        <v>68</v>
      </c>
      <c r="F37" s="76">
        <v>12</v>
      </c>
      <c r="G37" s="72">
        <v>9</v>
      </c>
      <c r="H37" s="68">
        <v>15</v>
      </c>
      <c r="I37" s="67">
        <v>36</v>
      </c>
      <c r="J37" s="58">
        <v>104</v>
      </c>
    </row>
    <row r="38" spans="1:10" ht="15" customHeight="1" x14ac:dyDescent="0.2">
      <c r="A38" s="165" t="s">
        <v>91</v>
      </c>
      <c r="B38" s="166">
        <v>42</v>
      </c>
      <c r="C38" s="166">
        <v>5</v>
      </c>
      <c r="D38" s="158">
        <v>88</v>
      </c>
      <c r="E38" s="157">
        <v>135</v>
      </c>
      <c r="F38" s="167">
        <v>19</v>
      </c>
      <c r="G38" s="166">
        <v>31</v>
      </c>
      <c r="H38" s="158">
        <v>24</v>
      </c>
      <c r="I38" s="157">
        <v>74</v>
      </c>
      <c r="J38" s="156">
        <v>209</v>
      </c>
    </row>
    <row r="39" spans="1:10" ht="15" customHeight="1" x14ac:dyDescent="0.2">
      <c r="A39" s="77" t="s">
        <v>92</v>
      </c>
      <c r="B39" s="72">
        <v>55</v>
      </c>
      <c r="C39" s="72">
        <v>57</v>
      </c>
      <c r="D39" s="68">
        <v>126</v>
      </c>
      <c r="E39" s="67">
        <v>238</v>
      </c>
      <c r="F39" s="76">
        <v>30</v>
      </c>
      <c r="G39" s="72">
        <v>31</v>
      </c>
      <c r="H39" s="68">
        <v>42</v>
      </c>
      <c r="I39" s="67">
        <v>103</v>
      </c>
      <c r="J39" s="58">
        <v>341</v>
      </c>
    </row>
    <row r="40" spans="1:10" ht="15" customHeight="1" x14ac:dyDescent="0.2">
      <c r="A40" s="165" t="s">
        <v>93</v>
      </c>
      <c r="B40" s="166">
        <v>0</v>
      </c>
      <c r="C40" s="166">
        <v>0</v>
      </c>
      <c r="D40" s="158">
        <v>0</v>
      </c>
      <c r="E40" s="157">
        <v>0</v>
      </c>
      <c r="F40" s="167">
        <v>0</v>
      </c>
      <c r="G40" s="166">
        <v>0</v>
      </c>
      <c r="H40" s="158">
        <v>0</v>
      </c>
      <c r="I40" s="157">
        <v>0</v>
      </c>
      <c r="J40" s="156">
        <v>0</v>
      </c>
    </row>
    <row r="41" spans="1:10" ht="15" customHeight="1" x14ac:dyDescent="0.2">
      <c r="A41" s="209" t="s">
        <v>94</v>
      </c>
      <c r="B41" s="172">
        <v>5</v>
      </c>
      <c r="C41" s="169">
        <v>3</v>
      </c>
      <c r="D41" s="170">
        <v>0</v>
      </c>
      <c r="E41" s="171">
        <v>8</v>
      </c>
      <c r="F41" s="172">
        <v>4</v>
      </c>
      <c r="G41" s="169">
        <v>4</v>
      </c>
      <c r="H41" s="170">
        <v>5</v>
      </c>
      <c r="I41" s="171">
        <v>13</v>
      </c>
      <c r="J41" s="205">
        <v>21</v>
      </c>
    </row>
    <row r="42" spans="1:10" x14ac:dyDescent="0.2">
      <c r="A42" s="284"/>
      <c r="B42" s="285"/>
      <c r="C42" s="286"/>
      <c r="D42" s="287"/>
      <c r="E42" s="288"/>
      <c r="F42" s="285"/>
      <c r="G42" s="286"/>
      <c r="H42" s="287"/>
      <c r="I42" s="288"/>
      <c r="J42" s="286"/>
    </row>
    <row r="43" spans="1:10" ht="15.75" thickBot="1" x14ac:dyDescent="0.3">
      <c r="A43" s="219" t="s">
        <v>227</v>
      </c>
      <c r="B43" s="220">
        <v>325</v>
      </c>
      <c r="C43" s="207">
        <v>295</v>
      </c>
      <c r="D43" s="221">
        <v>707</v>
      </c>
      <c r="E43" s="222">
        <v>1327</v>
      </c>
      <c r="F43" s="220">
        <v>349</v>
      </c>
      <c r="G43" s="207">
        <v>373</v>
      </c>
      <c r="H43" s="221">
        <v>383</v>
      </c>
      <c r="I43" s="222">
        <v>1105</v>
      </c>
      <c r="J43" s="207">
        <v>2432</v>
      </c>
    </row>
    <row r="44" spans="1:10" x14ac:dyDescent="0.2">
      <c r="I44" s="41"/>
      <c r="J44" s="42" t="s">
        <v>207</v>
      </c>
    </row>
  </sheetData>
  <mergeCells count="2">
    <mergeCell ref="B3:D3"/>
    <mergeCell ref="F3:H3"/>
  </mergeCells>
  <phoneticPr fontId="0" type="noConversion"/>
  <pageMargins left="0.75" right="0.75" top="1" bottom="1" header="0.5" footer="0.5"/>
  <pageSetup paperSize="9" scale="6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showGridLines="0" workbookViewId="0">
      <selection activeCell="N19" sqref="N19"/>
    </sheetView>
  </sheetViews>
  <sheetFormatPr defaultColWidth="6.7109375" defaultRowHeight="12.75" x14ac:dyDescent="0.2"/>
  <cols>
    <col min="1" max="1" width="28.28515625" style="5" customWidth="1"/>
    <col min="2" max="16384" width="6.7109375" style="5"/>
  </cols>
  <sheetData>
    <row r="1" spans="1:11" s="126" customFormat="1" ht="15" x14ac:dyDescent="0.25">
      <c r="A1" s="130" t="s">
        <v>400</v>
      </c>
    </row>
    <row r="2" spans="1:11" s="164" customFormat="1" ht="20.25" customHeight="1" thickBot="1" x14ac:dyDescent="0.25">
      <c r="A2" s="8" t="s">
        <v>180</v>
      </c>
    </row>
    <row r="3" spans="1:11" s="164" customFormat="1" ht="18.75" customHeight="1" x14ac:dyDescent="0.2">
      <c r="A3" s="2"/>
      <c r="B3" s="416" t="s">
        <v>268</v>
      </c>
      <c r="C3" s="416"/>
      <c r="D3" s="416" t="s">
        <v>276</v>
      </c>
      <c r="E3" s="416"/>
      <c r="F3" s="416" t="s">
        <v>278</v>
      </c>
      <c r="G3" s="416"/>
      <c r="H3" s="416" t="s">
        <v>320</v>
      </c>
      <c r="I3" s="416"/>
      <c r="J3" s="416" t="s">
        <v>388</v>
      </c>
      <c r="K3" s="416"/>
    </row>
    <row r="4" spans="1:11" s="164" customFormat="1" ht="16.5" customHeight="1" x14ac:dyDescent="0.2">
      <c r="A4" s="66" t="s">
        <v>95</v>
      </c>
      <c r="B4" s="267" t="s">
        <v>101</v>
      </c>
      <c r="C4" s="267" t="s">
        <v>100</v>
      </c>
      <c r="D4" s="267" t="s">
        <v>101</v>
      </c>
      <c r="E4" s="267" t="s">
        <v>100</v>
      </c>
      <c r="F4" s="267" t="s">
        <v>101</v>
      </c>
      <c r="G4" s="267" t="s">
        <v>100</v>
      </c>
      <c r="H4" s="267" t="s">
        <v>101</v>
      </c>
      <c r="I4" s="267" t="s">
        <v>100</v>
      </c>
      <c r="J4" s="267" t="s">
        <v>101</v>
      </c>
      <c r="K4" s="267" t="s">
        <v>100</v>
      </c>
    </row>
    <row r="5" spans="1:11" s="164" customFormat="1" ht="15" customHeight="1" x14ac:dyDescent="0.2">
      <c r="A5" s="3" t="s">
        <v>124</v>
      </c>
      <c r="B5" s="85">
        <v>0</v>
      </c>
      <c r="C5" s="85">
        <v>0</v>
      </c>
      <c r="D5" s="85">
        <v>0</v>
      </c>
      <c r="E5" s="85">
        <v>1</v>
      </c>
      <c r="F5" s="85">
        <v>0</v>
      </c>
      <c r="G5" s="85">
        <v>0</v>
      </c>
      <c r="H5" s="85">
        <v>0</v>
      </c>
      <c r="I5" s="85">
        <v>0</v>
      </c>
      <c r="J5" s="85">
        <v>0</v>
      </c>
      <c r="K5" s="85">
        <v>0</v>
      </c>
    </row>
    <row r="6" spans="1:11" s="164" customFormat="1" ht="15" customHeight="1" x14ac:dyDescent="0.2">
      <c r="A6" s="359" t="s">
        <v>113</v>
      </c>
      <c r="B6" s="362">
        <v>0</v>
      </c>
      <c r="C6" s="362">
        <v>1</v>
      </c>
      <c r="D6" s="362">
        <v>0</v>
      </c>
      <c r="E6" s="362">
        <v>2</v>
      </c>
      <c r="F6" s="362">
        <v>0</v>
      </c>
      <c r="G6" s="362">
        <v>0</v>
      </c>
      <c r="H6" s="362">
        <v>0</v>
      </c>
      <c r="I6" s="363">
        <v>0</v>
      </c>
      <c r="J6" s="362">
        <v>0</v>
      </c>
      <c r="K6" s="363">
        <v>0</v>
      </c>
    </row>
    <row r="7" spans="1:11" s="164" customFormat="1" ht="15" customHeight="1" x14ac:dyDescent="0.2">
      <c r="A7" s="3" t="s">
        <v>125</v>
      </c>
      <c r="B7" s="85">
        <v>0</v>
      </c>
      <c r="C7" s="85">
        <v>0</v>
      </c>
      <c r="D7" s="85">
        <v>0</v>
      </c>
      <c r="E7" s="85">
        <v>0</v>
      </c>
      <c r="F7" s="85">
        <v>0</v>
      </c>
      <c r="G7" s="85">
        <v>0</v>
      </c>
      <c r="H7" s="85">
        <v>0</v>
      </c>
      <c r="I7" s="85">
        <v>0</v>
      </c>
      <c r="J7" s="85">
        <v>0</v>
      </c>
      <c r="K7" s="85">
        <v>1</v>
      </c>
    </row>
    <row r="8" spans="1:11" s="164" customFormat="1" ht="15" customHeight="1" x14ac:dyDescent="0.2">
      <c r="A8" s="359" t="s">
        <v>126</v>
      </c>
      <c r="B8" s="362">
        <v>0</v>
      </c>
      <c r="C8" s="362">
        <v>0</v>
      </c>
      <c r="D8" s="362">
        <v>0</v>
      </c>
      <c r="E8" s="362">
        <v>0</v>
      </c>
      <c r="F8" s="362">
        <v>1</v>
      </c>
      <c r="G8" s="362">
        <v>0</v>
      </c>
      <c r="H8" s="362">
        <v>0</v>
      </c>
      <c r="I8" s="363">
        <v>1</v>
      </c>
      <c r="J8" s="362">
        <v>0</v>
      </c>
      <c r="K8" s="363">
        <v>1</v>
      </c>
    </row>
    <row r="9" spans="1:11" s="164" customFormat="1" ht="15" customHeight="1" x14ac:dyDescent="0.2">
      <c r="A9" s="3" t="s">
        <v>249</v>
      </c>
      <c r="B9" s="85">
        <v>31</v>
      </c>
      <c r="C9" s="85">
        <v>86</v>
      </c>
      <c r="D9" s="85">
        <v>12</v>
      </c>
      <c r="E9" s="85">
        <v>108</v>
      </c>
      <c r="F9" s="85">
        <v>29</v>
      </c>
      <c r="G9" s="85">
        <v>92</v>
      </c>
      <c r="H9" s="85">
        <v>29</v>
      </c>
      <c r="I9" s="85">
        <v>97</v>
      </c>
      <c r="J9" s="85">
        <v>20</v>
      </c>
      <c r="K9" s="85">
        <v>93</v>
      </c>
    </row>
    <row r="10" spans="1:11" s="164" customFormat="1" ht="15" customHeight="1" x14ac:dyDescent="0.2">
      <c r="A10" s="359" t="s">
        <v>127</v>
      </c>
      <c r="B10" s="362">
        <v>11</v>
      </c>
      <c r="C10" s="362">
        <v>1</v>
      </c>
      <c r="D10" s="362">
        <v>6</v>
      </c>
      <c r="E10" s="362">
        <v>5</v>
      </c>
      <c r="F10" s="362">
        <v>6</v>
      </c>
      <c r="G10" s="362">
        <v>0</v>
      </c>
      <c r="H10" s="362">
        <v>1</v>
      </c>
      <c r="I10" s="363">
        <v>7</v>
      </c>
      <c r="J10" s="362">
        <v>2</v>
      </c>
      <c r="K10" s="363">
        <v>5</v>
      </c>
    </row>
    <row r="11" spans="1:11" s="164" customFormat="1" ht="15" customHeight="1" x14ac:dyDescent="0.2">
      <c r="A11" s="3" t="s">
        <v>128</v>
      </c>
      <c r="B11" s="85">
        <v>0</v>
      </c>
      <c r="C11" s="85">
        <v>0</v>
      </c>
      <c r="D11" s="85">
        <v>0</v>
      </c>
      <c r="E11" s="85">
        <v>0</v>
      </c>
      <c r="F11" s="85">
        <v>0</v>
      </c>
      <c r="G11" s="85">
        <v>0</v>
      </c>
      <c r="H11" s="85">
        <v>0</v>
      </c>
      <c r="I11" s="85">
        <v>0</v>
      </c>
      <c r="J11" s="85">
        <v>0</v>
      </c>
      <c r="K11" s="85">
        <v>0</v>
      </c>
    </row>
    <row r="12" spans="1:11" s="164" customFormat="1" ht="15" customHeight="1" x14ac:dyDescent="0.2">
      <c r="A12" s="154" t="s">
        <v>129</v>
      </c>
      <c r="B12" s="154">
        <v>0</v>
      </c>
      <c r="C12" s="154">
        <v>8</v>
      </c>
      <c r="D12" s="154">
        <v>0</v>
      </c>
      <c r="E12" s="154">
        <v>2</v>
      </c>
      <c r="F12" s="154">
        <v>0</v>
      </c>
      <c r="G12" s="154">
        <v>3</v>
      </c>
      <c r="H12" s="154">
        <v>0</v>
      </c>
      <c r="I12" s="154">
        <v>4</v>
      </c>
      <c r="J12" s="154">
        <v>0</v>
      </c>
      <c r="K12" s="154">
        <v>5</v>
      </c>
    </row>
    <row r="13" spans="1:11" s="164" customFormat="1" ht="15" customHeight="1" x14ac:dyDescent="0.2">
      <c r="A13" s="85" t="s">
        <v>62</v>
      </c>
      <c r="B13" s="85">
        <v>4</v>
      </c>
      <c r="C13" s="85">
        <v>2</v>
      </c>
      <c r="D13" s="85">
        <v>6</v>
      </c>
      <c r="E13" s="85">
        <v>2</v>
      </c>
      <c r="F13" s="85">
        <v>4</v>
      </c>
      <c r="G13" s="85">
        <v>1</v>
      </c>
      <c r="H13" s="85">
        <v>8</v>
      </c>
      <c r="I13" s="85">
        <v>8</v>
      </c>
      <c r="J13" s="85">
        <v>5</v>
      </c>
      <c r="K13" s="85">
        <v>6</v>
      </c>
    </row>
    <row r="14" spans="1:11" s="164" customFormat="1" ht="15" customHeight="1" x14ac:dyDescent="0.2">
      <c r="A14" s="154" t="s">
        <v>130</v>
      </c>
      <c r="B14" s="154">
        <v>0</v>
      </c>
      <c r="C14" s="154">
        <v>3</v>
      </c>
      <c r="D14" s="154">
        <v>0</v>
      </c>
      <c r="E14" s="154">
        <v>4</v>
      </c>
      <c r="F14" s="154">
        <v>0</v>
      </c>
      <c r="G14" s="154">
        <v>3</v>
      </c>
      <c r="H14" s="154">
        <v>0</v>
      </c>
      <c r="I14" s="154">
        <v>7</v>
      </c>
      <c r="J14" s="154">
        <v>0</v>
      </c>
      <c r="K14" s="154">
        <v>4</v>
      </c>
    </row>
    <row r="15" spans="1:11" s="164" customFormat="1" ht="15" customHeight="1" x14ac:dyDescent="0.2">
      <c r="A15" s="85" t="s">
        <v>63</v>
      </c>
      <c r="B15" s="85">
        <v>0</v>
      </c>
      <c r="C15" s="85">
        <v>3</v>
      </c>
      <c r="D15" s="85">
        <v>1</v>
      </c>
      <c r="E15" s="85">
        <v>0</v>
      </c>
      <c r="F15" s="85">
        <v>0</v>
      </c>
      <c r="G15" s="85">
        <v>1</v>
      </c>
      <c r="H15" s="85">
        <v>2</v>
      </c>
      <c r="I15" s="85">
        <v>4</v>
      </c>
      <c r="J15" s="85">
        <v>1</v>
      </c>
      <c r="K15" s="85">
        <v>3</v>
      </c>
    </row>
    <row r="16" spans="1:11" s="164" customFormat="1" ht="15" customHeight="1" x14ac:dyDescent="0.2">
      <c r="A16" s="154" t="s">
        <v>131</v>
      </c>
      <c r="B16" s="154">
        <v>0</v>
      </c>
      <c r="C16" s="154">
        <v>0</v>
      </c>
      <c r="D16" s="154">
        <v>0</v>
      </c>
      <c r="E16" s="154">
        <v>0</v>
      </c>
      <c r="F16" s="154">
        <v>0</v>
      </c>
      <c r="G16" s="154">
        <v>1</v>
      </c>
      <c r="H16" s="154">
        <v>0</v>
      </c>
      <c r="I16" s="154">
        <v>1</v>
      </c>
      <c r="J16" s="154">
        <v>0</v>
      </c>
      <c r="K16" s="154">
        <v>1</v>
      </c>
    </row>
    <row r="17" spans="1:11" s="164" customFormat="1" ht="15" customHeight="1" x14ac:dyDescent="0.2">
      <c r="A17" s="85" t="s">
        <v>132</v>
      </c>
      <c r="B17" s="85">
        <v>0</v>
      </c>
      <c r="C17" s="85">
        <v>7</v>
      </c>
      <c r="D17" s="85">
        <v>1</v>
      </c>
      <c r="E17" s="85">
        <v>4</v>
      </c>
      <c r="F17" s="85">
        <v>0</v>
      </c>
      <c r="G17" s="85">
        <v>2</v>
      </c>
      <c r="H17" s="85">
        <v>0</v>
      </c>
      <c r="I17" s="85">
        <v>1</v>
      </c>
      <c r="J17" s="85">
        <v>2</v>
      </c>
      <c r="K17" s="85">
        <v>2</v>
      </c>
    </row>
    <row r="18" spans="1:11" s="164" customFormat="1" ht="15" customHeight="1" x14ac:dyDescent="0.2">
      <c r="A18" s="154" t="s">
        <v>66</v>
      </c>
      <c r="B18" s="154">
        <v>0</v>
      </c>
      <c r="C18" s="154">
        <v>0</v>
      </c>
      <c r="D18" s="154">
        <v>0</v>
      </c>
      <c r="E18" s="154">
        <v>3</v>
      </c>
      <c r="F18" s="154">
        <v>0</v>
      </c>
      <c r="G18" s="154">
        <v>3</v>
      </c>
      <c r="H18" s="154">
        <v>2</v>
      </c>
      <c r="I18" s="154">
        <v>5</v>
      </c>
      <c r="J18" s="154">
        <v>2</v>
      </c>
      <c r="K18" s="154">
        <v>4</v>
      </c>
    </row>
    <row r="19" spans="1:11" s="164" customFormat="1" ht="15" customHeight="1" x14ac:dyDescent="0.2">
      <c r="A19" s="85" t="s">
        <v>115</v>
      </c>
      <c r="B19" s="85">
        <v>29</v>
      </c>
      <c r="C19" s="85">
        <v>21</v>
      </c>
      <c r="D19" s="85">
        <v>18</v>
      </c>
      <c r="E19" s="85">
        <v>19</v>
      </c>
      <c r="F19" s="85">
        <v>15</v>
      </c>
      <c r="G19" s="85">
        <v>22</v>
      </c>
      <c r="H19" s="85">
        <v>19</v>
      </c>
      <c r="I19" s="85">
        <v>31</v>
      </c>
      <c r="J19" s="85">
        <v>18</v>
      </c>
      <c r="K19" s="85">
        <v>27</v>
      </c>
    </row>
    <row r="20" spans="1:11" s="164" customFormat="1" ht="15" customHeight="1" x14ac:dyDescent="0.2">
      <c r="A20" s="154" t="s">
        <v>133</v>
      </c>
      <c r="B20" s="154">
        <v>0</v>
      </c>
      <c r="C20" s="154">
        <v>18</v>
      </c>
      <c r="D20" s="154">
        <v>0</v>
      </c>
      <c r="E20" s="154">
        <v>13</v>
      </c>
      <c r="F20" s="154">
        <v>0</v>
      </c>
      <c r="G20" s="154">
        <v>26</v>
      </c>
      <c r="H20" s="154">
        <v>0</v>
      </c>
      <c r="I20" s="154">
        <v>15</v>
      </c>
      <c r="J20" s="154">
        <v>0</v>
      </c>
      <c r="K20" s="154">
        <v>10</v>
      </c>
    </row>
    <row r="21" spans="1:11" s="164" customFormat="1" ht="15" customHeight="1" x14ac:dyDescent="0.2">
      <c r="A21" s="85" t="s">
        <v>134</v>
      </c>
      <c r="B21" s="85">
        <v>0</v>
      </c>
      <c r="C21" s="85">
        <v>0</v>
      </c>
      <c r="D21" s="85">
        <v>0</v>
      </c>
      <c r="E21" s="85">
        <v>0</v>
      </c>
      <c r="F21" s="85">
        <v>0</v>
      </c>
      <c r="G21" s="85">
        <v>0</v>
      </c>
      <c r="H21" s="85">
        <v>0</v>
      </c>
      <c r="I21" s="85">
        <v>0</v>
      </c>
      <c r="J21" s="85">
        <v>0</v>
      </c>
      <c r="K21" s="85">
        <v>0</v>
      </c>
    </row>
    <row r="22" spans="1:11" s="164" customFormat="1" ht="15" customHeight="1" x14ac:dyDescent="0.2">
      <c r="A22" s="154" t="s">
        <v>135</v>
      </c>
      <c r="B22" s="154">
        <v>0</v>
      </c>
      <c r="C22" s="154">
        <v>0</v>
      </c>
      <c r="D22" s="154">
        <v>0</v>
      </c>
      <c r="E22" s="154">
        <v>0</v>
      </c>
      <c r="F22" s="154">
        <v>0</v>
      </c>
      <c r="G22" s="154">
        <v>0</v>
      </c>
      <c r="H22" s="154">
        <v>0</v>
      </c>
      <c r="I22" s="154">
        <v>0</v>
      </c>
      <c r="J22" s="154">
        <v>0</v>
      </c>
      <c r="K22" s="154">
        <v>0</v>
      </c>
    </row>
    <row r="23" spans="1:11" s="164" customFormat="1" ht="15" customHeight="1" x14ac:dyDescent="0.2">
      <c r="A23" s="85" t="s">
        <v>116</v>
      </c>
      <c r="B23" s="85">
        <v>0</v>
      </c>
      <c r="C23" s="85">
        <v>6</v>
      </c>
      <c r="D23" s="85">
        <v>2</v>
      </c>
      <c r="E23" s="85">
        <v>4</v>
      </c>
      <c r="F23" s="85">
        <v>0</v>
      </c>
      <c r="G23" s="85">
        <v>9</v>
      </c>
      <c r="H23" s="85">
        <v>6</v>
      </c>
      <c r="I23" s="85">
        <v>2</v>
      </c>
      <c r="J23" s="85">
        <v>1</v>
      </c>
      <c r="K23" s="85">
        <v>9</v>
      </c>
    </row>
    <row r="24" spans="1:11" s="164" customFormat="1" ht="15" customHeight="1" x14ac:dyDescent="0.2">
      <c r="A24" s="154" t="s">
        <v>136</v>
      </c>
      <c r="B24" s="154">
        <v>1</v>
      </c>
      <c r="C24" s="154">
        <v>3</v>
      </c>
      <c r="D24" s="154">
        <v>2</v>
      </c>
      <c r="E24" s="154">
        <v>4</v>
      </c>
      <c r="F24" s="154">
        <v>7</v>
      </c>
      <c r="G24" s="154">
        <v>5</v>
      </c>
      <c r="H24" s="154">
        <v>2</v>
      </c>
      <c r="I24" s="154">
        <v>2</v>
      </c>
      <c r="J24" s="154">
        <v>2</v>
      </c>
      <c r="K24" s="154">
        <v>3</v>
      </c>
    </row>
    <row r="25" spans="1:11" s="164" customFormat="1" ht="15" customHeight="1" x14ac:dyDescent="0.2">
      <c r="A25" s="85" t="s">
        <v>137</v>
      </c>
      <c r="B25" s="85">
        <v>0</v>
      </c>
      <c r="C25" s="85">
        <v>0</v>
      </c>
      <c r="D25" s="85">
        <v>0</v>
      </c>
      <c r="E25" s="85">
        <v>1</v>
      </c>
      <c r="F25" s="85">
        <v>0</v>
      </c>
      <c r="G25" s="85">
        <v>0</v>
      </c>
      <c r="H25" s="85">
        <v>1</v>
      </c>
      <c r="I25" s="85">
        <v>1</v>
      </c>
      <c r="J25" s="85">
        <v>0</v>
      </c>
      <c r="K25" s="85">
        <v>0</v>
      </c>
    </row>
    <row r="26" spans="1:11" s="164" customFormat="1" ht="15" customHeight="1" x14ac:dyDescent="0.2">
      <c r="A26" s="154" t="s">
        <v>138</v>
      </c>
      <c r="B26" s="154">
        <v>0</v>
      </c>
      <c r="C26" s="154">
        <v>0</v>
      </c>
      <c r="D26" s="154">
        <v>0</v>
      </c>
      <c r="E26" s="154">
        <v>0</v>
      </c>
      <c r="F26" s="154">
        <v>0</v>
      </c>
      <c r="G26" s="154">
        <v>0</v>
      </c>
      <c r="H26" s="154">
        <v>0</v>
      </c>
      <c r="I26" s="154">
        <v>0</v>
      </c>
      <c r="J26" s="154">
        <v>0</v>
      </c>
      <c r="K26" s="154">
        <v>0</v>
      </c>
    </row>
    <row r="27" spans="1:11" s="164" customFormat="1" ht="15" customHeight="1" x14ac:dyDescent="0.2">
      <c r="A27" s="85" t="s">
        <v>118</v>
      </c>
      <c r="B27" s="85">
        <v>0</v>
      </c>
      <c r="C27" s="85">
        <v>3</v>
      </c>
      <c r="D27" s="85">
        <v>0</v>
      </c>
      <c r="E27" s="85">
        <v>2</v>
      </c>
      <c r="F27" s="85">
        <v>0</v>
      </c>
      <c r="G27" s="85">
        <v>1</v>
      </c>
      <c r="H27" s="85">
        <v>0</v>
      </c>
      <c r="I27" s="85">
        <v>1</v>
      </c>
      <c r="J27" s="85">
        <v>0</v>
      </c>
      <c r="K27" s="85">
        <v>2</v>
      </c>
    </row>
    <row r="28" spans="1:11" s="164" customFormat="1" ht="15" customHeight="1" x14ac:dyDescent="0.2">
      <c r="A28" s="154" t="s">
        <v>119</v>
      </c>
      <c r="B28" s="154">
        <v>2</v>
      </c>
      <c r="C28" s="154">
        <v>8</v>
      </c>
      <c r="D28" s="154">
        <v>1</v>
      </c>
      <c r="E28" s="154">
        <v>15</v>
      </c>
      <c r="F28" s="154">
        <v>4</v>
      </c>
      <c r="G28" s="154">
        <v>8</v>
      </c>
      <c r="H28" s="154">
        <v>1</v>
      </c>
      <c r="I28" s="154">
        <v>11</v>
      </c>
      <c r="J28" s="154">
        <v>0</v>
      </c>
      <c r="K28" s="154">
        <v>8</v>
      </c>
    </row>
    <row r="29" spans="1:11" s="164" customFormat="1" ht="15" customHeight="1" x14ac:dyDescent="0.2">
      <c r="A29" s="85" t="s">
        <v>139</v>
      </c>
      <c r="B29" s="85">
        <v>17</v>
      </c>
      <c r="C29" s="85">
        <v>41</v>
      </c>
      <c r="D29" s="85">
        <v>4</v>
      </c>
      <c r="E29" s="85">
        <v>36</v>
      </c>
      <c r="F29" s="85">
        <v>23</v>
      </c>
      <c r="G29" s="85">
        <v>51</v>
      </c>
      <c r="H29" s="85">
        <v>8</v>
      </c>
      <c r="I29" s="85">
        <v>26</v>
      </c>
      <c r="J29" s="85">
        <v>11</v>
      </c>
      <c r="K29" s="85">
        <v>31</v>
      </c>
    </row>
    <row r="30" spans="1:11" s="164" customFormat="1" ht="15" customHeight="1" x14ac:dyDescent="0.2">
      <c r="A30" s="154" t="s">
        <v>140</v>
      </c>
      <c r="B30" s="154">
        <v>0</v>
      </c>
      <c r="C30" s="154">
        <v>0</v>
      </c>
      <c r="D30" s="154">
        <v>0</v>
      </c>
      <c r="E30" s="154">
        <v>0</v>
      </c>
      <c r="F30" s="154">
        <v>0</v>
      </c>
      <c r="G30" s="154">
        <v>0</v>
      </c>
      <c r="H30" s="154">
        <v>0</v>
      </c>
      <c r="I30" s="154">
        <v>0</v>
      </c>
      <c r="J30" s="154">
        <v>0</v>
      </c>
      <c r="K30" s="154">
        <v>0</v>
      </c>
    </row>
    <row r="31" spans="1:11" s="164" customFormat="1" ht="15" customHeight="1" x14ac:dyDescent="0.2">
      <c r="A31" s="85" t="s">
        <v>141</v>
      </c>
      <c r="B31" s="85">
        <v>0</v>
      </c>
      <c r="C31" s="85">
        <v>0</v>
      </c>
      <c r="D31" s="85">
        <v>0</v>
      </c>
      <c r="E31" s="85">
        <v>1</v>
      </c>
      <c r="F31" s="85">
        <v>0</v>
      </c>
      <c r="G31" s="85">
        <v>0</v>
      </c>
      <c r="H31" s="85">
        <v>1</v>
      </c>
      <c r="I31" s="85">
        <v>0</v>
      </c>
      <c r="J31" s="85">
        <v>1</v>
      </c>
      <c r="K31" s="85">
        <v>1</v>
      </c>
    </row>
    <row r="32" spans="1:11" s="164" customFormat="1" ht="15" customHeight="1" x14ac:dyDescent="0.2">
      <c r="A32" s="154" t="s">
        <v>142</v>
      </c>
      <c r="B32" s="154">
        <v>0</v>
      </c>
      <c r="C32" s="154">
        <v>0</v>
      </c>
      <c r="D32" s="154">
        <v>0</v>
      </c>
      <c r="E32" s="154">
        <v>0</v>
      </c>
      <c r="F32" s="154">
        <v>0</v>
      </c>
      <c r="G32" s="154">
        <v>0</v>
      </c>
      <c r="H32" s="154">
        <v>0</v>
      </c>
      <c r="I32" s="154">
        <v>0</v>
      </c>
      <c r="J32" s="154">
        <v>0</v>
      </c>
      <c r="K32" s="154">
        <v>0</v>
      </c>
    </row>
    <row r="33" spans="1:11" s="164" customFormat="1" ht="15" customHeight="1" x14ac:dyDescent="0.2">
      <c r="A33" s="85" t="s">
        <v>75</v>
      </c>
      <c r="B33" s="85">
        <v>11</v>
      </c>
      <c r="C33" s="85">
        <v>68</v>
      </c>
      <c r="D33" s="85">
        <v>14</v>
      </c>
      <c r="E33" s="85">
        <v>56</v>
      </c>
      <c r="F33" s="85">
        <v>36</v>
      </c>
      <c r="G33" s="85">
        <v>62</v>
      </c>
      <c r="H33" s="85">
        <v>27</v>
      </c>
      <c r="I33" s="85">
        <v>46</v>
      </c>
      <c r="J33" s="85">
        <v>12</v>
      </c>
      <c r="K33" s="85">
        <v>59</v>
      </c>
    </row>
    <row r="34" spans="1:11" s="164" customFormat="1" ht="15" customHeight="1" x14ac:dyDescent="0.2">
      <c r="A34" s="154" t="s">
        <v>143</v>
      </c>
      <c r="B34" s="154">
        <v>0</v>
      </c>
      <c r="C34" s="154">
        <v>1</v>
      </c>
      <c r="D34" s="154">
        <v>0</v>
      </c>
      <c r="E34" s="154">
        <v>0</v>
      </c>
      <c r="F34" s="154">
        <v>0</v>
      </c>
      <c r="G34" s="154">
        <v>0</v>
      </c>
      <c r="H34" s="154">
        <v>0</v>
      </c>
      <c r="I34" s="154">
        <v>0</v>
      </c>
      <c r="J34" s="154">
        <v>0</v>
      </c>
      <c r="K34" s="154">
        <v>0</v>
      </c>
    </row>
    <row r="35" spans="1:11" s="164" customFormat="1" ht="15" customHeight="1" x14ac:dyDescent="0.2">
      <c r="A35" s="85" t="s">
        <v>77</v>
      </c>
      <c r="B35" s="85">
        <v>0</v>
      </c>
      <c r="C35" s="85">
        <v>4</v>
      </c>
      <c r="D35" s="85">
        <v>1</v>
      </c>
      <c r="E35" s="85">
        <v>5</v>
      </c>
      <c r="F35" s="85">
        <v>1</v>
      </c>
      <c r="G35" s="85">
        <v>2</v>
      </c>
      <c r="H35" s="85">
        <v>1</v>
      </c>
      <c r="I35" s="85">
        <v>2</v>
      </c>
      <c r="J35" s="85">
        <v>1</v>
      </c>
      <c r="K35" s="85">
        <v>4</v>
      </c>
    </row>
    <row r="36" spans="1:11" s="164" customFormat="1" ht="15" customHeight="1" x14ac:dyDescent="0.2">
      <c r="A36" s="154" t="s">
        <v>144</v>
      </c>
      <c r="B36" s="154">
        <v>0</v>
      </c>
      <c r="C36" s="154">
        <v>1</v>
      </c>
      <c r="D36" s="154">
        <v>0</v>
      </c>
      <c r="E36" s="154">
        <v>0</v>
      </c>
      <c r="F36" s="154">
        <v>0</v>
      </c>
      <c r="G36" s="154">
        <v>0</v>
      </c>
      <c r="H36" s="154">
        <v>0</v>
      </c>
      <c r="I36" s="154">
        <v>0</v>
      </c>
      <c r="J36" s="154">
        <v>1</v>
      </c>
      <c r="K36" s="154">
        <v>1</v>
      </c>
    </row>
    <row r="37" spans="1:11" s="164" customFormat="1" ht="15" customHeight="1" x14ac:dyDescent="0.2">
      <c r="A37" s="85" t="s">
        <v>82</v>
      </c>
      <c r="B37" s="85">
        <v>3</v>
      </c>
      <c r="C37" s="85">
        <v>9</v>
      </c>
      <c r="D37" s="85">
        <v>1</v>
      </c>
      <c r="E37" s="85">
        <v>11</v>
      </c>
      <c r="F37" s="85">
        <v>2</v>
      </c>
      <c r="G37" s="85">
        <v>8</v>
      </c>
      <c r="H37" s="85">
        <v>4</v>
      </c>
      <c r="I37" s="85">
        <v>20</v>
      </c>
      <c r="J37" s="85">
        <v>1</v>
      </c>
      <c r="K37" s="85">
        <v>27</v>
      </c>
    </row>
    <row r="38" spans="1:11" s="164" customFormat="1" ht="15" customHeight="1" x14ac:dyDescent="0.2">
      <c r="A38" s="154" t="s">
        <v>145</v>
      </c>
      <c r="B38" s="154">
        <v>0</v>
      </c>
      <c r="C38" s="154">
        <v>2</v>
      </c>
      <c r="D38" s="154">
        <v>0</v>
      </c>
      <c r="E38" s="154">
        <v>5</v>
      </c>
      <c r="F38" s="154">
        <v>0</v>
      </c>
      <c r="G38" s="154">
        <v>1</v>
      </c>
      <c r="H38" s="154">
        <v>0</v>
      </c>
      <c r="I38" s="154">
        <v>3</v>
      </c>
      <c r="J38" s="154">
        <v>0</v>
      </c>
      <c r="K38" s="154">
        <v>2</v>
      </c>
    </row>
    <row r="39" spans="1:11" s="164" customFormat="1" ht="15" customHeight="1" x14ac:dyDescent="0.2">
      <c r="A39" s="85" t="s">
        <v>146</v>
      </c>
      <c r="B39" s="85">
        <v>18</v>
      </c>
      <c r="C39" s="85">
        <v>81</v>
      </c>
      <c r="D39" s="85">
        <v>13</v>
      </c>
      <c r="E39" s="85">
        <v>69</v>
      </c>
      <c r="F39" s="85">
        <v>21</v>
      </c>
      <c r="G39" s="85">
        <v>94</v>
      </c>
      <c r="H39" s="85">
        <v>9</v>
      </c>
      <c r="I39" s="85">
        <v>86</v>
      </c>
      <c r="J39" s="85">
        <v>20</v>
      </c>
      <c r="K39" s="85">
        <v>78</v>
      </c>
    </row>
    <row r="40" spans="1:11" s="164" customFormat="1" ht="15" customHeight="1" x14ac:dyDescent="0.2">
      <c r="A40" s="154" t="s">
        <v>147</v>
      </c>
      <c r="B40" s="154">
        <v>0</v>
      </c>
      <c r="C40" s="154">
        <v>0</v>
      </c>
      <c r="D40" s="154">
        <v>0</v>
      </c>
      <c r="E40" s="154">
        <v>1</v>
      </c>
      <c r="F40" s="154">
        <v>0</v>
      </c>
      <c r="G40" s="154">
        <v>0</v>
      </c>
      <c r="H40" s="154">
        <v>0</v>
      </c>
      <c r="I40" s="154">
        <v>0</v>
      </c>
      <c r="J40" s="154">
        <v>0</v>
      </c>
      <c r="K40" s="154">
        <v>1</v>
      </c>
    </row>
    <row r="41" spans="1:11" s="164" customFormat="1" ht="15" customHeight="1" x14ac:dyDescent="0.2">
      <c r="A41" s="85" t="s">
        <v>148</v>
      </c>
      <c r="B41" s="85">
        <v>0</v>
      </c>
      <c r="C41" s="85">
        <v>1</v>
      </c>
      <c r="D41" s="85">
        <v>0</v>
      </c>
      <c r="E41" s="85">
        <v>0</v>
      </c>
      <c r="F41" s="85">
        <v>0</v>
      </c>
      <c r="G41" s="85">
        <v>0</v>
      </c>
      <c r="H41" s="85">
        <v>0</v>
      </c>
      <c r="I41" s="85">
        <v>0</v>
      </c>
      <c r="J41" s="85">
        <v>0</v>
      </c>
      <c r="K41" s="85">
        <v>0</v>
      </c>
    </row>
    <row r="42" spans="1:11" s="164" customFormat="1" ht="15" customHeight="1" x14ac:dyDescent="0.2">
      <c r="A42" s="154" t="s">
        <v>92</v>
      </c>
      <c r="B42" s="154">
        <v>0</v>
      </c>
      <c r="C42" s="154">
        <v>1</v>
      </c>
      <c r="D42" s="154">
        <v>5</v>
      </c>
      <c r="E42" s="154">
        <v>2</v>
      </c>
      <c r="F42" s="154">
        <v>1</v>
      </c>
      <c r="G42" s="154">
        <v>0</v>
      </c>
      <c r="H42" s="154">
        <v>9</v>
      </c>
      <c r="I42" s="154">
        <v>1</v>
      </c>
      <c r="J42" s="154">
        <v>0</v>
      </c>
      <c r="K42" s="154">
        <v>0</v>
      </c>
    </row>
    <row r="43" spans="1:11" s="164" customFormat="1" ht="15" customHeight="1" x14ac:dyDescent="0.2">
      <c r="A43" s="85" t="s">
        <v>93</v>
      </c>
      <c r="B43" s="85">
        <v>22</v>
      </c>
      <c r="C43" s="85">
        <v>92</v>
      </c>
      <c r="D43" s="85">
        <v>35</v>
      </c>
      <c r="E43" s="85">
        <v>68</v>
      </c>
      <c r="F43" s="85">
        <v>35</v>
      </c>
      <c r="G43" s="85">
        <v>86</v>
      </c>
      <c r="H43" s="85">
        <v>30</v>
      </c>
      <c r="I43" s="85">
        <v>78</v>
      </c>
      <c r="J43" s="85">
        <v>47</v>
      </c>
      <c r="K43" s="85">
        <v>60</v>
      </c>
    </row>
    <row r="44" spans="1:11" s="164" customFormat="1" ht="15" customHeight="1" thickBot="1" x14ac:dyDescent="0.25">
      <c r="A44" s="208" t="s">
        <v>94</v>
      </c>
      <c r="B44" s="208">
        <v>6</v>
      </c>
      <c r="C44" s="208">
        <v>9</v>
      </c>
      <c r="D44" s="208">
        <v>4</v>
      </c>
      <c r="E44" s="208">
        <v>9</v>
      </c>
      <c r="F44" s="208">
        <v>4</v>
      </c>
      <c r="G44" s="208">
        <v>9</v>
      </c>
      <c r="H44" s="208">
        <v>3</v>
      </c>
      <c r="I44" s="208">
        <v>7</v>
      </c>
      <c r="J44" s="208">
        <v>5</v>
      </c>
      <c r="K44" s="208">
        <v>5</v>
      </c>
    </row>
    <row r="45" spans="1:11" ht="4.5" customHeight="1" thickTop="1" x14ac:dyDescent="0.2">
      <c r="A45" s="3"/>
    </row>
    <row r="46" spans="1:11" ht="15" x14ac:dyDescent="0.25">
      <c r="A46" s="134" t="s">
        <v>228</v>
      </c>
      <c r="B46" s="134">
        <v>155</v>
      </c>
      <c r="C46" s="134">
        <v>480</v>
      </c>
      <c r="D46" s="134">
        <v>126</v>
      </c>
      <c r="E46" s="134">
        <v>452</v>
      </c>
      <c r="F46" s="134">
        <v>189</v>
      </c>
      <c r="G46" s="134">
        <v>490</v>
      </c>
      <c r="H46" s="134">
        <v>163</v>
      </c>
      <c r="I46" s="134">
        <v>467</v>
      </c>
      <c r="J46" s="134">
        <v>152</v>
      </c>
      <c r="K46" s="134">
        <v>453</v>
      </c>
    </row>
    <row r="47" spans="1:11" ht="4.5" customHeight="1" x14ac:dyDescent="0.2">
      <c r="A47" s="127"/>
    </row>
    <row r="48" spans="1:11" ht="15.75" thickBot="1" x14ac:dyDescent="0.3">
      <c r="A48" s="111" t="s">
        <v>229</v>
      </c>
      <c r="B48" s="417">
        <v>635</v>
      </c>
      <c r="C48" s="403"/>
      <c r="D48" s="417">
        <v>578</v>
      </c>
      <c r="E48" s="403"/>
      <c r="F48" s="417">
        <v>679</v>
      </c>
      <c r="G48" s="403"/>
      <c r="H48" s="417">
        <v>630</v>
      </c>
      <c r="I48" s="403"/>
      <c r="J48" s="417">
        <v>605</v>
      </c>
      <c r="K48" s="403"/>
    </row>
    <row r="49" spans="1:11" ht="12.75" customHeight="1" x14ac:dyDescent="0.2">
      <c r="A49" s="44"/>
      <c r="B49" s="418"/>
      <c r="C49" s="419"/>
      <c r="D49" s="418"/>
      <c r="E49" s="419"/>
      <c r="F49" s="418"/>
      <c r="G49" s="419"/>
      <c r="H49" s="418"/>
      <c r="I49" s="419"/>
      <c r="J49" s="418" t="s">
        <v>207</v>
      </c>
      <c r="K49" s="419"/>
    </row>
  </sheetData>
  <mergeCells count="15">
    <mergeCell ref="B3:C3"/>
    <mergeCell ref="B48:C48"/>
    <mergeCell ref="B49:C49"/>
    <mergeCell ref="F3:G3"/>
    <mergeCell ref="D3:E3"/>
    <mergeCell ref="D48:E48"/>
    <mergeCell ref="D49:E49"/>
    <mergeCell ref="F48:G48"/>
    <mergeCell ref="F49:G49"/>
    <mergeCell ref="J3:K3"/>
    <mergeCell ref="J48:K48"/>
    <mergeCell ref="J49:K49"/>
    <mergeCell ref="H3:I3"/>
    <mergeCell ref="H48:I48"/>
    <mergeCell ref="H49:I49"/>
  </mergeCells>
  <phoneticPr fontId="0" type="noConversion"/>
  <pageMargins left="0.75" right="0.75" top="1" bottom="1" header="0.5" footer="0.5"/>
  <pageSetup paperSize="9" scale="91"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1"/>
  <sheetViews>
    <sheetView showGridLines="0" workbookViewId="0">
      <selection activeCell="L15" sqref="L15"/>
    </sheetView>
  </sheetViews>
  <sheetFormatPr defaultRowHeight="12.75" x14ac:dyDescent="0.2"/>
  <cols>
    <col min="1" max="1" width="17.7109375" style="5" customWidth="1"/>
    <col min="2" max="4" width="11.28515625" style="5" customWidth="1"/>
    <col min="5" max="5" width="13.7109375" style="5" customWidth="1"/>
    <col min="6" max="8" width="10.7109375" style="5" customWidth="1"/>
    <col min="9" max="9" width="12.140625" style="5" customWidth="1"/>
    <col min="10" max="10" width="16.28515625" style="5" customWidth="1"/>
    <col min="11" max="16384" width="9.140625" style="5"/>
  </cols>
  <sheetData>
    <row r="1" spans="1:256" s="212" customFormat="1" ht="15" x14ac:dyDescent="0.25">
      <c r="A1" s="130" t="s">
        <v>401</v>
      </c>
      <c r="B1" s="132"/>
      <c r="C1" s="132"/>
      <c r="D1" s="132"/>
      <c r="E1" s="134"/>
      <c r="F1" s="135"/>
      <c r="G1" s="135"/>
      <c r="H1" s="135"/>
      <c r="I1" s="130"/>
      <c r="J1" s="132"/>
      <c r="K1" s="210"/>
      <c r="L1" s="210"/>
      <c r="M1" s="210"/>
      <c r="N1" s="210"/>
      <c r="O1" s="210"/>
      <c r="P1" s="210"/>
      <c r="Q1" s="211"/>
      <c r="R1" s="210"/>
      <c r="S1" s="210"/>
      <c r="T1" s="210"/>
      <c r="U1" s="210"/>
      <c r="V1" s="210"/>
      <c r="W1" s="210"/>
      <c r="X1" s="210"/>
      <c r="Y1" s="211"/>
      <c r="Z1" s="210"/>
      <c r="AA1" s="210"/>
      <c r="AB1" s="210"/>
      <c r="AC1" s="210"/>
      <c r="AD1" s="210"/>
      <c r="AE1" s="210"/>
      <c r="AF1" s="210"/>
      <c r="AG1" s="211"/>
      <c r="AH1" s="210"/>
      <c r="AI1" s="210"/>
      <c r="AJ1" s="210"/>
      <c r="AK1" s="210"/>
      <c r="AL1" s="210"/>
      <c r="AM1" s="210"/>
      <c r="AN1" s="210"/>
      <c r="AO1" s="211"/>
      <c r="AP1" s="210"/>
      <c r="AQ1" s="210"/>
      <c r="AR1" s="210"/>
      <c r="AS1" s="210"/>
      <c r="AT1" s="210"/>
      <c r="AU1" s="210"/>
      <c r="AV1" s="210"/>
      <c r="AW1" s="211"/>
      <c r="AX1" s="210"/>
      <c r="AY1" s="210"/>
      <c r="AZ1" s="210"/>
      <c r="BA1" s="210"/>
      <c r="BB1" s="210"/>
      <c r="BC1" s="210"/>
      <c r="BD1" s="210"/>
      <c r="BE1" s="211"/>
      <c r="BF1" s="210"/>
      <c r="BG1" s="210"/>
      <c r="BH1" s="210"/>
      <c r="BI1" s="210"/>
      <c r="BJ1" s="210"/>
      <c r="BK1" s="210"/>
      <c r="BL1" s="210"/>
      <c r="BM1" s="211"/>
      <c r="BN1" s="210"/>
      <c r="BO1" s="210"/>
      <c r="BP1" s="210"/>
      <c r="BQ1" s="210"/>
      <c r="BR1" s="210"/>
      <c r="BS1" s="210"/>
      <c r="BT1" s="210"/>
      <c r="BU1" s="211"/>
      <c r="BV1" s="210"/>
      <c r="BW1" s="210"/>
      <c r="BX1" s="210"/>
      <c r="BY1" s="210"/>
      <c r="BZ1" s="210"/>
      <c r="CA1" s="210"/>
      <c r="CB1" s="210"/>
      <c r="CC1" s="211"/>
      <c r="CD1" s="210"/>
      <c r="CE1" s="210"/>
      <c r="CF1" s="210"/>
      <c r="CG1" s="210"/>
      <c r="CH1" s="210"/>
      <c r="CI1" s="210"/>
      <c r="CJ1" s="210"/>
      <c r="CK1" s="211"/>
      <c r="CL1" s="210"/>
      <c r="CM1" s="210"/>
      <c r="CN1" s="210"/>
      <c r="CO1" s="210"/>
      <c r="CP1" s="210"/>
      <c r="CQ1" s="210"/>
      <c r="CR1" s="210"/>
      <c r="CS1" s="211"/>
      <c r="CT1" s="210"/>
      <c r="CU1" s="210"/>
      <c r="CV1" s="210"/>
      <c r="CW1" s="210"/>
      <c r="CX1" s="210"/>
      <c r="CY1" s="210"/>
      <c r="CZ1" s="210"/>
      <c r="DA1" s="211"/>
      <c r="DB1" s="210"/>
      <c r="DC1" s="210"/>
      <c r="DD1" s="210"/>
      <c r="DE1" s="210"/>
      <c r="DF1" s="210"/>
      <c r="DG1" s="210"/>
      <c r="DH1" s="210"/>
      <c r="DI1" s="211"/>
      <c r="DJ1" s="210"/>
      <c r="DK1" s="210"/>
      <c r="DL1" s="210"/>
      <c r="DM1" s="210"/>
      <c r="DN1" s="210"/>
      <c r="DO1" s="210"/>
      <c r="DP1" s="210"/>
      <c r="DQ1" s="211"/>
      <c r="DR1" s="210"/>
      <c r="DS1" s="210"/>
      <c r="DT1" s="210"/>
      <c r="DU1" s="210"/>
      <c r="DV1" s="210"/>
      <c r="DW1" s="210"/>
      <c r="DX1" s="210"/>
      <c r="DY1" s="211"/>
      <c r="DZ1" s="210"/>
      <c r="EA1" s="210"/>
      <c r="EB1" s="210"/>
      <c r="EC1" s="210"/>
      <c r="ED1" s="210"/>
      <c r="EE1" s="210"/>
      <c r="EF1" s="210"/>
      <c r="EG1" s="211"/>
      <c r="EH1" s="210"/>
      <c r="EI1" s="210"/>
      <c r="EJ1" s="210"/>
      <c r="EK1" s="210"/>
      <c r="EL1" s="210"/>
      <c r="EM1" s="210"/>
      <c r="EN1" s="210"/>
      <c r="EO1" s="211"/>
      <c r="EP1" s="210"/>
      <c r="EQ1" s="210"/>
      <c r="ER1" s="210"/>
      <c r="ES1" s="210"/>
      <c r="ET1" s="210"/>
      <c r="EU1" s="210"/>
      <c r="EV1" s="210"/>
      <c r="EW1" s="211"/>
      <c r="EX1" s="210"/>
      <c r="EY1" s="210"/>
      <c r="EZ1" s="210"/>
      <c r="FA1" s="210"/>
      <c r="FB1" s="210"/>
      <c r="FC1" s="210"/>
      <c r="FD1" s="210"/>
      <c r="FE1" s="211"/>
      <c r="FF1" s="210"/>
      <c r="FG1" s="210"/>
      <c r="FH1" s="210"/>
      <c r="FI1" s="210"/>
      <c r="FJ1" s="210"/>
      <c r="FK1" s="210"/>
      <c r="FL1" s="210"/>
      <c r="FM1" s="211"/>
      <c r="FN1" s="210"/>
      <c r="FO1" s="210"/>
      <c r="FP1" s="210"/>
      <c r="FQ1" s="210"/>
      <c r="FR1" s="210"/>
      <c r="FS1" s="210"/>
      <c r="FT1" s="210"/>
      <c r="FU1" s="211"/>
      <c r="FV1" s="210"/>
      <c r="FW1" s="210"/>
      <c r="FX1" s="210"/>
      <c r="FY1" s="210"/>
      <c r="FZ1" s="210"/>
      <c r="GA1" s="210"/>
      <c r="GB1" s="210"/>
      <c r="GC1" s="211"/>
      <c r="GD1" s="210"/>
      <c r="GE1" s="210"/>
      <c r="GF1" s="210"/>
      <c r="GG1" s="210"/>
      <c r="GH1" s="210"/>
      <c r="GI1" s="210"/>
      <c r="GJ1" s="210"/>
      <c r="GK1" s="211"/>
      <c r="GL1" s="210"/>
      <c r="GM1" s="210"/>
      <c r="GN1" s="210"/>
      <c r="GO1" s="210"/>
      <c r="GP1" s="210"/>
      <c r="GQ1" s="210"/>
      <c r="GR1" s="210"/>
      <c r="GS1" s="211"/>
      <c r="GT1" s="210"/>
      <c r="GU1" s="210"/>
      <c r="GV1" s="210"/>
      <c r="GW1" s="210"/>
      <c r="GX1" s="210"/>
      <c r="GY1" s="210"/>
      <c r="GZ1" s="210"/>
      <c r="HA1" s="211"/>
      <c r="HB1" s="210"/>
      <c r="HC1" s="210"/>
      <c r="HD1" s="210"/>
      <c r="HE1" s="210"/>
      <c r="HF1" s="210"/>
      <c r="HG1" s="210"/>
      <c r="HH1" s="210"/>
      <c r="HI1" s="211"/>
      <c r="HJ1" s="210"/>
      <c r="HK1" s="210"/>
      <c r="HL1" s="210"/>
      <c r="HM1" s="210"/>
      <c r="HN1" s="210"/>
      <c r="HO1" s="210"/>
      <c r="HP1" s="210"/>
      <c r="HQ1" s="211"/>
      <c r="HR1" s="210"/>
      <c r="HS1" s="210"/>
      <c r="HT1" s="210"/>
      <c r="HU1" s="210"/>
      <c r="HV1" s="210"/>
      <c r="HW1" s="210"/>
      <c r="HX1" s="210"/>
      <c r="HY1" s="211"/>
      <c r="HZ1" s="210"/>
      <c r="IA1" s="210"/>
      <c r="IB1" s="210"/>
      <c r="IC1" s="210"/>
      <c r="ID1" s="210"/>
      <c r="IE1" s="210"/>
      <c r="IF1" s="210"/>
      <c r="IG1" s="211"/>
      <c r="IH1" s="210"/>
      <c r="II1" s="210"/>
      <c r="IJ1" s="210"/>
      <c r="IK1" s="210"/>
      <c r="IL1" s="210"/>
      <c r="IM1" s="210"/>
      <c r="IN1" s="210"/>
      <c r="IO1" s="211"/>
      <c r="IP1" s="210"/>
      <c r="IQ1" s="210"/>
      <c r="IR1" s="210"/>
      <c r="IS1" s="210"/>
      <c r="IT1" s="210"/>
      <c r="IU1" s="210"/>
      <c r="IV1" s="210"/>
    </row>
    <row r="2" spans="1:256" s="18" customFormat="1" ht="16.5" customHeight="1" thickBot="1" x14ac:dyDescent="0.25">
      <c r="A2" s="8"/>
      <c r="B2" s="9"/>
      <c r="C2" s="9"/>
      <c r="D2" s="10"/>
      <c r="E2" s="12"/>
      <c r="F2" s="13"/>
      <c r="G2" s="13"/>
      <c r="H2" s="13"/>
      <c r="I2" s="8"/>
      <c r="J2" s="9"/>
      <c r="K2" s="213"/>
      <c r="L2" s="214"/>
      <c r="M2" s="215"/>
      <c r="N2" s="215"/>
      <c r="O2" s="215"/>
      <c r="P2" s="215"/>
      <c r="Q2" s="216"/>
      <c r="R2" s="213"/>
      <c r="S2" s="213"/>
      <c r="T2" s="214"/>
      <c r="U2" s="215"/>
      <c r="V2" s="215"/>
      <c r="W2" s="215"/>
      <c r="X2" s="215"/>
      <c r="Y2" s="216"/>
      <c r="Z2" s="213"/>
      <c r="AA2" s="213"/>
      <c r="AB2" s="214"/>
      <c r="AC2" s="215"/>
      <c r="AD2" s="215"/>
      <c r="AE2" s="215"/>
      <c r="AF2" s="215"/>
      <c r="AG2" s="216"/>
      <c r="AH2" s="213"/>
      <c r="AI2" s="213"/>
      <c r="AJ2" s="214"/>
      <c r="AK2" s="215"/>
      <c r="AL2" s="215"/>
      <c r="AM2" s="215"/>
      <c r="AN2" s="215"/>
      <c r="AO2" s="216"/>
      <c r="AP2" s="213"/>
      <c r="AQ2" s="213"/>
      <c r="AR2" s="214"/>
      <c r="AS2" s="215"/>
      <c r="AT2" s="215"/>
      <c r="AU2" s="215"/>
      <c r="AV2" s="215"/>
      <c r="AW2" s="216"/>
      <c r="AX2" s="213"/>
      <c r="AY2" s="213"/>
      <c r="AZ2" s="214"/>
      <c r="BA2" s="215"/>
      <c r="BB2" s="215"/>
      <c r="BC2" s="215"/>
      <c r="BD2" s="215"/>
      <c r="BE2" s="216"/>
      <c r="BF2" s="213"/>
      <c r="BG2" s="213"/>
      <c r="BH2" s="214"/>
      <c r="BI2" s="215"/>
      <c r="BJ2" s="215"/>
      <c r="BK2" s="215"/>
      <c r="BL2" s="215"/>
      <c r="BM2" s="216"/>
      <c r="BN2" s="213"/>
      <c r="BO2" s="213"/>
      <c r="BP2" s="214"/>
      <c r="BQ2" s="215"/>
      <c r="BR2" s="215"/>
      <c r="BS2" s="215"/>
      <c r="BT2" s="215"/>
      <c r="BU2" s="216"/>
      <c r="BV2" s="213"/>
      <c r="BW2" s="213"/>
      <c r="BX2" s="214"/>
      <c r="BY2" s="215"/>
      <c r="BZ2" s="215"/>
      <c r="CA2" s="215"/>
      <c r="CB2" s="215"/>
      <c r="CC2" s="216"/>
      <c r="CD2" s="213"/>
      <c r="CE2" s="213"/>
      <c r="CF2" s="214"/>
      <c r="CG2" s="215"/>
      <c r="CH2" s="215"/>
      <c r="CI2" s="215"/>
      <c r="CJ2" s="215"/>
      <c r="CK2" s="216"/>
      <c r="CL2" s="213"/>
      <c r="CM2" s="213"/>
      <c r="CN2" s="214"/>
      <c r="CO2" s="215"/>
      <c r="CP2" s="215"/>
      <c r="CQ2" s="215"/>
      <c r="CR2" s="215"/>
      <c r="CS2" s="216"/>
      <c r="CT2" s="213"/>
      <c r="CU2" s="213"/>
      <c r="CV2" s="214"/>
      <c r="CW2" s="215"/>
      <c r="CX2" s="215"/>
      <c r="CY2" s="215"/>
      <c r="CZ2" s="215"/>
      <c r="DA2" s="216"/>
      <c r="DB2" s="213"/>
      <c r="DC2" s="213"/>
      <c r="DD2" s="214"/>
      <c r="DE2" s="215"/>
      <c r="DF2" s="215"/>
      <c r="DG2" s="215"/>
      <c r="DH2" s="215"/>
      <c r="DI2" s="216"/>
      <c r="DJ2" s="213"/>
      <c r="DK2" s="213"/>
      <c r="DL2" s="214"/>
      <c r="DM2" s="215"/>
      <c r="DN2" s="215"/>
      <c r="DO2" s="215"/>
      <c r="DP2" s="215"/>
      <c r="DQ2" s="216"/>
      <c r="DR2" s="213"/>
      <c r="DS2" s="213"/>
      <c r="DT2" s="214"/>
      <c r="DU2" s="215"/>
      <c r="DV2" s="215"/>
      <c r="DW2" s="215"/>
      <c r="DX2" s="215"/>
      <c r="DY2" s="216"/>
      <c r="DZ2" s="213"/>
      <c r="EA2" s="213"/>
      <c r="EB2" s="214"/>
      <c r="EC2" s="215"/>
      <c r="ED2" s="215"/>
      <c r="EE2" s="215"/>
      <c r="EF2" s="215"/>
      <c r="EG2" s="216"/>
      <c r="EH2" s="213"/>
      <c r="EI2" s="213"/>
      <c r="EJ2" s="214"/>
      <c r="EK2" s="215"/>
      <c r="EL2" s="215"/>
      <c r="EM2" s="215"/>
      <c r="EN2" s="215"/>
      <c r="EO2" s="216"/>
      <c r="EP2" s="213"/>
      <c r="EQ2" s="213"/>
      <c r="ER2" s="214"/>
      <c r="ES2" s="215"/>
      <c r="ET2" s="215"/>
      <c r="EU2" s="215"/>
      <c r="EV2" s="215"/>
      <c r="EW2" s="216"/>
      <c r="EX2" s="213"/>
      <c r="EY2" s="213"/>
      <c r="EZ2" s="214"/>
      <c r="FA2" s="215"/>
      <c r="FB2" s="215"/>
      <c r="FC2" s="215"/>
      <c r="FD2" s="215"/>
      <c r="FE2" s="216"/>
      <c r="FF2" s="213"/>
      <c r="FG2" s="213"/>
      <c r="FH2" s="214"/>
      <c r="FI2" s="215"/>
      <c r="FJ2" s="215"/>
      <c r="FK2" s="215"/>
      <c r="FL2" s="215"/>
      <c r="FM2" s="216"/>
      <c r="FN2" s="213"/>
      <c r="FO2" s="213"/>
      <c r="FP2" s="214"/>
      <c r="FQ2" s="215"/>
      <c r="FR2" s="215"/>
      <c r="FS2" s="215"/>
      <c r="FT2" s="215"/>
      <c r="FU2" s="216"/>
      <c r="FV2" s="213"/>
      <c r="FW2" s="213"/>
      <c r="FX2" s="214"/>
      <c r="FY2" s="215"/>
      <c r="FZ2" s="215"/>
      <c r="GA2" s="215"/>
      <c r="GB2" s="215"/>
      <c r="GC2" s="216"/>
      <c r="GD2" s="213"/>
      <c r="GE2" s="213"/>
      <c r="GF2" s="214"/>
      <c r="GG2" s="215"/>
      <c r="GH2" s="215"/>
      <c r="GI2" s="215"/>
      <c r="GJ2" s="215"/>
      <c r="GK2" s="216"/>
      <c r="GL2" s="213"/>
      <c r="GM2" s="213"/>
      <c r="GN2" s="214"/>
      <c r="GO2" s="215"/>
      <c r="GP2" s="215"/>
      <c r="GQ2" s="215"/>
      <c r="GR2" s="215"/>
      <c r="GS2" s="216"/>
      <c r="GT2" s="213"/>
      <c r="GU2" s="213"/>
      <c r="GV2" s="214"/>
      <c r="GW2" s="215"/>
      <c r="GX2" s="215"/>
      <c r="GY2" s="215"/>
      <c r="GZ2" s="215"/>
      <c r="HA2" s="216"/>
      <c r="HB2" s="213"/>
      <c r="HC2" s="213"/>
      <c r="HD2" s="214"/>
      <c r="HE2" s="215"/>
      <c r="HF2" s="215"/>
      <c r="HG2" s="215"/>
      <c r="HH2" s="215"/>
      <c r="HI2" s="216"/>
      <c r="HJ2" s="213"/>
      <c r="HK2" s="213"/>
      <c r="HL2" s="214"/>
      <c r="HM2" s="215"/>
      <c r="HN2" s="215"/>
      <c r="HO2" s="215"/>
      <c r="HP2" s="215"/>
      <c r="HQ2" s="216"/>
      <c r="HR2" s="213"/>
      <c r="HS2" s="213"/>
      <c r="HT2" s="214"/>
      <c r="HU2" s="215"/>
      <c r="HV2" s="215"/>
      <c r="HW2" s="215"/>
      <c r="HX2" s="215"/>
      <c r="HY2" s="216"/>
      <c r="HZ2" s="213"/>
      <c r="IA2" s="213"/>
      <c r="IB2" s="214"/>
      <c r="IC2" s="215"/>
      <c r="ID2" s="215"/>
      <c r="IE2" s="215"/>
      <c r="IF2" s="215"/>
      <c r="IG2" s="216"/>
      <c r="IH2" s="213"/>
      <c r="II2" s="213"/>
      <c r="IJ2" s="214"/>
      <c r="IK2" s="215"/>
      <c r="IL2" s="215"/>
      <c r="IM2" s="215"/>
      <c r="IN2" s="215"/>
      <c r="IO2" s="216"/>
      <c r="IP2" s="213"/>
      <c r="IQ2" s="213"/>
      <c r="IR2" s="214"/>
      <c r="IS2" s="215"/>
      <c r="IT2" s="215"/>
      <c r="IU2" s="215"/>
      <c r="IV2" s="215"/>
    </row>
    <row r="3" spans="1:256" s="164" customFormat="1" ht="31.5" customHeight="1" x14ac:dyDescent="0.2">
      <c r="A3" s="1"/>
      <c r="B3" s="413" t="s">
        <v>122</v>
      </c>
      <c r="C3" s="414"/>
      <c r="D3" s="415"/>
      <c r="E3" s="175" t="s">
        <v>255</v>
      </c>
      <c r="F3" s="413" t="s">
        <v>174</v>
      </c>
      <c r="G3" s="414"/>
      <c r="H3" s="415"/>
      <c r="I3" s="175" t="s">
        <v>256</v>
      </c>
      <c r="J3" s="142" t="s">
        <v>231</v>
      </c>
    </row>
    <row r="4" spans="1:256" s="164" customFormat="1" ht="17.25" customHeight="1" x14ac:dyDescent="0.2">
      <c r="A4" s="66" t="s">
        <v>95</v>
      </c>
      <c r="B4" s="74" t="s">
        <v>390</v>
      </c>
      <c r="C4" s="61" t="s">
        <v>391</v>
      </c>
      <c r="D4" s="61" t="s">
        <v>392</v>
      </c>
      <c r="E4" s="198" t="s">
        <v>388</v>
      </c>
      <c r="F4" s="74" t="s">
        <v>390</v>
      </c>
      <c r="G4" s="61" t="s">
        <v>391</v>
      </c>
      <c r="H4" s="61" t="s">
        <v>392</v>
      </c>
      <c r="I4" s="198" t="s">
        <v>398</v>
      </c>
      <c r="J4" s="187" t="s">
        <v>388</v>
      </c>
      <c r="K4" s="18"/>
    </row>
    <row r="5" spans="1:256" s="164" customFormat="1" ht="15" customHeight="1" x14ac:dyDescent="0.2">
      <c r="A5" s="62" t="s">
        <v>124</v>
      </c>
      <c r="B5" s="76">
        <v>0</v>
      </c>
      <c r="C5" s="72">
        <v>0</v>
      </c>
      <c r="D5" s="68">
        <v>0</v>
      </c>
      <c r="E5" s="67">
        <v>0</v>
      </c>
      <c r="F5" s="76">
        <v>0</v>
      </c>
      <c r="G5" s="72">
        <v>0</v>
      </c>
      <c r="H5" s="68">
        <v>0</v>
      </c>
      <c r="I5" s="67">
        <v>0</v>
      </c>
      <c r="J5" s="58">
        <v>0</v>
      </c>
    </row>
    <row r="6" spans="1:256" s="164" customFormat="1" ht="15" customHeight="1" x14ac:dyDescent="0.2">
      <c r="A6" s="173" t="s">
        <v>113</v>
      </c>
      <c r="B6" s="167">
        <v>0</v>
      </c>
      <c r="C6" s="166">
        <v>0</v>
      </c>
      <c r="D6" s="158">
        <v>0</v>
      </c>
      <c r="E6" s="157">
        <v>0</v>
      </c>
      <c r="F6" s="167">
        <v>0</v>
      </c>
      <c r="G6" s="166">
        <v>0</v>
      </c>
      <c r="H6" s="158">
        <v>0</v>
      </c>
      <c r="I6" s="157">
        <v>0</v>
      </c>
      <c r="J6" s="156">
        <v>0</v>
      </c>
    </row>
    <row r="7" spans="1:256" s="164" customFormat="1" ht="15" customHeight="1" x14ac:dyDescent="0.2">
      <c r="A7" s="62" t="s">
        <v>125</v>
      </c>
      <c r="B7" s="76">
        <v>0</v>
      </c>
      <c r="C7" s="72">
        <v>0</v>
      </c>
      <c r="D7" s="68">
        <v>0</v>
      </c>
      <c r="E7" s="67">
        <v>0</v>
      </c>
      <c r="F7" s="76">
        <v>0</v>
      </c>
      <c r="G7" s="72">
        <v>0</v>
      </c>
      <c r="H7" s="68">
        <v>1</v>
      </c>
      <c r="I7" s="67">
        <v>1</v>
      </c>
      <c r="J7" s="58">
        <v>1</v>
      </c>
    </row>
    <row r="8" spans="1:256" s="164" customFormat="1" ht="15" customHeight="1" x14ac:dyDescent="0.2">
      <c r="A8" s="173" t="s">
        <v>126</v>
      </c>
      <c r="B8" s="167">
        <v>0</v>
      </c>
      <c r="C8" s="166">
        <v>0</v>
      </c>
      <c r="D8" s="158">
        <v>0</v>
      </c>
      <c r="E8" s="157">
        <v>0</v>
      </c>
      <c r="F8" s="167">
        <v>0</v>
      </c>
      <c r="G8" s="166">
        <v>0</v>
      </c>
      <c r="H8" s="158">
        <v>1</v>
      </c>
      <c r="I8" s="157">
        <v>1</v>
      </c>
      <c r="J8" s="156">
        <v>1</v>
      </c>
    </row>
    <row r="9" spans="1:256" s="164" customFormat="1" ht="15" customHeight="1" x14ac:dyDescent="0.2">
      <c r="A9" s="62" t="s">
        <v>249</v>
      </c>
      <c r="B9" s="76">
        <v>2</v>
      </c>
      <c r="C9" s="72">
        <v>5</v>
      </c>
      <c r="D9" s="68">
        <v>13</v>
      </c>
      <c r="E9" s="67">
        <v>20</v>
      </c>
      <c r="F9" s="76">
        <v>22</v>
      </c>
      <c r="G9" s="72">
        <v>41</v>
      </c>
      <c r="H9" s="68">
        <v>30</v>
      </c>
      <c r="I9" s="67">
        <v>93</v>
      </c>
      <c r="J9" s="58">
        <v>113</v>
      </c>
    </row>
    <row r="10" spans="1:256" s="164" customFormat="1" ht="15" customHeight="1" x14ac:dyDescent="0.2">
      <c r="A10" s="173" t="s">
        <v>127</v>
      </c>
      <c r="B10" s="167">
        <v>2</v>
      </c>
      <c r="C10" s="166">
        <v>0</v>
      </c>
      <c r="D10" s="158">
        <v>0</v>
      </c>
      <c r="E10" s="157">
        <v>2</v>
      </c>
      <c r="F10" s="167">
        <v>3</v>
      </c>
      <c r="G10" s="166">
        <v>1</v>
      </c>
      <c r="H10" s="158">
        <v>1</v>
      </c>
      <c r="I10" s="157">
        <v>5</v>
      </c>
      <c r="J10" s="156">
        <v>7</v>
      </c>
    </row>
    <row r="11" spans="1:256" s="164" customFormat="1" ht="15" customHeight="1" x14ac:dyDescent="0.2">
      <c r="A11" s="62" t="s">
        <v>128</v>
      </c>
      <c r="B11" s="76">
        <v>0</v>
      </c>
      <c r="C11" s="72">
        <v>0</v>
      </c>
      <c r="D11" s="68">
        <v>0</v>
      </c>
      <c r="E11" s="67">
        <v>0</v>
      </c>
      <c r="F11" s="76">
        <v>0</v>
      </c>
      <c r="G11" s="72">
        <v>0</v>
      </c>
      <c r="H11" s="68">
        <v>0</v>
      </c>
      <c r="I11" s="67">
        <v>0</v>
      </c>
      <c r="J11" s="58">
        <v>0</v>
      </c>
    </row>
    <row r="12" spans="1:256" s="164" customFormat="1" ht="15" customHeight="1" x14ac:dyDescent="0.2">
      <c r="A12" s="173" t="s">
        <v>129</v>
      </c>
      <c r="B12" s="167">
        <v>0</v>
      </c>
      <c r="C12" s="166">
        <v>0</v>
      </c>
      <c r="D12" s="158">
        <v>0</v>
      </c>
      <c r="E12" s="157">
        <v>0</v>
      </c>
      <c r="F12" s="167">
        <v>2</v>
      </c>
      <c r="G12" s="166">
        <v>2</v>
      </c>
      <c r="H12" s="158">
        <v>1</v>
      </c>
      <c r="I12" s="157">
        <v>5</v>
      </c>
      <c r="J12" s="156">
        <v>5</v>
      </c>
    </row>
    <row r="13" spans="1:256" s="164" customFormat="1" ht="15" customHeight="1" x14ac:dyDescent="0.2">
      <c r="A13" s="209" t="s">
        <v>62</v>
      </c>
      <c r="B13" s="172">
        <v>1</v>
      </c>
      <c r="C13" s="169">
        <v>2</v>
      </c>
      <c r="D13" s="170">
        <v>2</v>
      </c>
      <c r="E13" s="171">
        <v>5</v>
      </c>
      <c r="F13" s="172">
        <v>1</v>
      </c>
      <c r="G13" s="169">
        <v>3</v>
      </c>
      <c r="H13" s="170">
        <v>2</v>
      </c>
      <c r="I13" s="171">
        <v>6</v>
      </c>
      <c r="J13" s="205">
        <v>11</v>
      </c>
    </row>
    <row r="14" spans="1:256" s="164" customFormat="1" ht="15" customHeight="1" x14ac:dyDescent="0.2">
      <c r="A14" s="173" t="s">
        <v>130</v>
      </c>
      <c r="B14" s="167">
        <v>0</v>
      </c>
      <c r="C14" s="166">
        <v>0</v>
      </c>
      <c r="D14" s="158">
        <v>0</v>
      </c>
      <c r="E14" s="157">
        <v>0</v>
      </c>
      <c r="F14" s="167">
        <v>2</v>
      </c>
      <c r="G14" s="166">
        <v>1</v>
      </c>
      <c r="H14" s="158">
        <v>1</v>
      </c>
      <c r="I14" s="157">
        <v>4</v>
      </c>
      <c r="J14" s="156">
        <v>4</v>
      </c>
    </row>
    <row r="15" spans="1:256" s="164" customFormat="1" ht="15" customHeight="1" x14ac:dyDescent="0.2">
      <c r="A15" s="209" t="s">
        <v>63</v>
      </c>
      <c r="B15" s="172">
        <v>0</v>
      </c>
      <c r="C15" s="169">
        <v>1</v>
      </c>
      <c r="D15" s="170">
        <v>0</v>
      </c>
      <c r="E15" s="171">
        <v>1</v>
      </c>
      <c r="F15" s="172">
        <v>1</v>
      </c>
      <c r="G15" s="169">
        <v>1</v>
      </c>
      <c r="H15" s="170">
        <v>1</v>
      </c>
      <c r="I15" s="171">
        <v>3</v>
      </c>
      <c r="J15" s="205">
        <v>4</v>
      </c>
    </row>
    <row r="16" spans="1:256" s="164" customFormat="1" ht="15" customHeight="1" x14ac:dyDescent="0.2">
      <c r="A16" s="173" t="s">
        <v>131</v>
      </c>
      <c r="B16" s="167">
        <v>0</v>
      </c>
      <c r="C16" s="166">
        <v>0</v>
      </c>
      <c r="D16" s="158">
        <v>0</v>
      </c>
      <c r="E16" s="157">
        <v>0</v>
      </c>
      <c r="F16" s="167">
        <v>0</v>
      </c>
      <c r="G16" s="166">
        <v>0</v>
      </c>
      <c r="H16" s="158">
        <v>1</v>
      </c>
      <c r="I16" s="157">
        <v>1</v>
      </c>
      <c r="J16" s="156">
        <v>1</v>
      </c>
    </row>
    <row r="17" spans="1:10" s="164" customFormat="1" ht="15" customHeight="1" x14ac:dyDescent="0.2">
      <c r="A17" s="209" t="s">
        <v>132</v>
      </c>
      <c r="B17" s="172">
        <v>2</v>
      </c>
      <c r="C17" s="169">
        <v>0</v>
      </c>
      <c r="D17" s="170">
        <v>0</v>
      </c>
      <c r="E17" s="171">
        <v>2</v>
      </c>
      <c r="F17" s="172">
        <v>0</v>
      </c>
      <c r="G17" s="169">
        <v>1</v>
      </c>
      <c r="H17" s="170">
        <v>1</v>
      </c>
      <c r="I17" s="171">
        <v>2</v>
      </c>
      <c r="J17" s="205">
        <v>4</v>
      </c>
    </row>
    <row r="18" spans="1:10" s="164" customFormat="1" ht="15" customHeight="1" x14ac:dyDescent="0.2">
      <c r="A18" s="173" t="s">
        <v>66</v>
      </c>
      <c r="B18" s="167">
        <v>2</v>
      </c>
      <c r="C18" s="166">
        <v>0</v>
      </c>
      <c r="D18" s="158">
        <v>0</v>
      </c>
      <c r="E18" s="157">
        <v>2</v>
      </c>
      <c r="F18" s="167">
        <v>1</v>
      </c>
      <c r="G18" s="166">
        <v>2</v>
      </c>
      <c r="H18" s="158">
        <v>1</v>
      </c>
      <c r="I18" s="157">
        <v>4</v>
      </c>
      <c r="J18" s="156">
        <v>6</v>
      </c>
    </row>
    <row r="19" spans="1:10" s="164" customFormat="1" ht="15" customHeight="1" x14ac:dyDescent="0.2">
      <c r="A19" s="209" t="s">
        <v>115</v>
      </c>
      <c r="B19" s="172">
        <v>2</v>
      </c>
      <c r="C19" s="169">
        <v>7</v>
      </c>
      <c r="D19" s="170">
        <v>9</v>
      </c>
      <c r="E19" s="171">
        <v>18</v>
      </c>
      <c r="F19" s="172">
        <v>4</v>
      </c>
      <c r="G19" s="169">
        <v>10</v>
      </c>
      <c r="H19" s="170">
        <v>13</v>
      </c>
      <c r="I19" s="171">
        <v>27</v>
      </c>
      <c r="J19" s="205">
        <v>45</v>
      </c>
    </row>
    <row r="20" spans="1:10" s="164" customFormat="1" ht="15" customHeight="1" x14ac:dyDescent="0.2">
      <c r="A20" s="173" t="s">
        <v>149</v>
      </c>
      <c r="B20" s="167">
        <v>0</v>
      </c>
      <c r="C20" s="166">
        <v>0</v>
      </c>
      <c r="D20" s="158">
        <v>0</v>
      </c>
      <c r="E20" s="157">
        <v>0</v>
      </c>
      <c r="F20" s="167">
        <v>4</v>
      </c>
      <c r="G20" s="166">
        <v>3</v>
      </c>
      <c r="H20" s="158">
        <v>3</v>
      </c>
      <c r="I20" s="157">
        <v>10</v>
      </c>
      <c r="J20" s="156">
        <v>10</v>
      </c>
    </row>
    <row r="21" spans="1:10" s="164" customFormat="1" ht="15" customHeight="1" x14ac:dyDescent="0.2">
      <c r="A21" s="209" t="s">
        <v>134</v>
      </c>
      <c r="B21" s="172">
        <v>0</v>
      </c>
      <c r="C21" s="169">
        <v>0</v>
      </c>
      <c r="D21" s="170">
        <v>0</v>
      </c>
      <c r="E21" s="171">
        <v>0</v>
      </c>
      <c r="F21" s="172">
        <v>0</v>
      </c>
      <c r="G21" s="169">
        <v>0</v>
      </c>
      <c r="H21" s="170">
        <v>0</v>
      </c>
      <c r="I21" s="171">
        <v>0</v>
      </c>
      <c r="J21" s="205">
        <v>0</v>
      </c>
    </row>
    <row r="22" spans="1:10" s="164" customFormat="1" ht="15" customHeight="1" x14ac:dyDescent="0.2">
      <c r="A22" s="173" t="s">
        <v>135</v>
      </c>
      <c r="B22" s="167">
        <v>0</v>
      </c>
      <c r="C22" s="166">
        <v>0</v>
      </c>
      <c r="D22" s="158">
        <v>0</v>
      </c>
      <c r="E22" s="157">
        <v>0</v>
      </c>
      <c r="F22" s="167">
        <v>0</v>
      </c>
      <c r="G22" s="166">
        <v>0</v>
      </c>
      <c r="H22" s="158">
        <v>0</v>
      </c>
      <c r="I22" s="157">
        <v>0</v>
      </c>
      <c r="J22" s="156">
        <v>0</v>
      </c>
    </row>
    <row r="23" spans="1:10" s="164" customFormat="1" ht="15" customHeight="1" x14ac:dyDescent="0.2">
      <c r="A23" s="209" t="s">
        <v>116</v>
      </c>
      <c r="B23" s="172">
        <v>1</v>
      </c>
      <c r="C23" s="169">
        <v>0</v>
      </c>
      <c r="D23" s="170">
        <v>0</v>
      </c>
      <c r="E23" s="171">
        <v>1</v>
      </c>
      <c r="F23" s="172">
        <v>3</v>
      </c>
      <c r="G23" s="169">
        <v>6</v>
      </c>
      <c r="H23" s="170">
        <v>0</v>
      </c>
      <c r="I23" s="171">
        <v>9</v>
      </c>
      <c r="J23" s="205">
        <v>10</v>
      </c>
    </row>
    <row r="24" spans="1:10" s="164" customFormat="1" ht="15" customHeight="1" x14ac:dyDescent="0.2">
      <c r="A24" s="173" t="s">
        <v>136</v>
      </c>
      <c r="B24" s="167">
        <v>1</v>
      </c>
      <c r="C24" s="166">
        <v>0</v>
      </c>
      <c r="D24" s="158">
        <v>1</v>
      </c>
      <c r="E24" s="157">
        <v>2</v>
      </c>
      <c r="F24" s="167">
        <v>1</v>
      </c>
      <c r="G24" s="166">
        <v>1</v>
      </c>
      <c r="H24" s="158">
        <v>1</v>
      </c>
      <c r="I24" s="157">
        <v>3</v>
      </c>
      <c r="J24" s="156">
        <v>5</v>
      </c>
    </row>
    <row r="25" spans="1:10" s="164" customFormat="1" ht="15" customHeight="1" x14ac:dyDescent="0.2">
      <c r="A25" s="209" t="s">
        <v>137</v>
      </c>
      <c r="B25" s="172">
        <v>0</v>
      </c>
      <c r="C25" s="169">
        <v>0</v>
      </c>
      <c r="D25" s="170">
        <v>0</v>
      </c>
      <c r="E25" s="171">
        <v>0</v>
      </c>
      <c r="F25" s="172">
        <v>0</v>
      </c>
      <c r="G25" s="169">
        <v>0</v>
      </c>
      <c r="H25" s="170">
        <v>0</v>
      </c>
      <c r="I25" s="171">
        <v>0</v>
      </c>
      <c r="J25" s="205">
        <v>0</v>
      </c>
    </row>
    <row r="26" spans="1:10" s="164" customFormat="1" ht="15" customHeight="1" x14ac:dyDescent="0.2">
      <c r="A26" s="173" t="s">
        <v>138</v>
      </c>
      <c r="B26" s="167">
        <v>0</v>
      </c>
      <c r="C26" s="166">
        <v>0</v>
      </c>
      <c r="D26" s="158">
        <v>0</v>
      </c>
      <c r="E26" s="157">
        <v>0</v>
      </c>
      <c r="F26" s="167">
        <v>0</v>
      </c>
      <c r="G26" s="166">
        <v>0</v>
      </c>
      <c r="H26" s="158">
        <v>0</v>
      </c>
      <c r="I26" s="157">
        <v>0</v>
      </c>
      <c r="J26" s="156">
        <v>0</v>
      </c>
    </row>
    <row r="27" spans="1:10" s="164" customFormat="1" ht="15" customHeight="1" x14ac:dyDescent="0.2">
      <c r="A27" s="209" t="s">
        <v>118</v>
      </c>
      <c r="B27" s="172">
        <v>0</v>
      </c>
      <c r="C27" s="169">
        <v>0</v>
      </c>
      <c r="D27" s="170">
        <v>0</v>
      </c>
      <c r="E27" s="171">
        <v>0</v>
      </c>
      <c r="F27" s="172">
        <v>1</v>
      </c>
      <c r="G27" s="169">
        <v>1</v>
      </c>
      <c r="H27" s="170">
        <v>0</v>
      </c>
      <c r="I27" s="171">
        <v>2</v>
      </c>
      <c r="J27" s="205">
        <v>2</v>
      </c>
    </row>
    <row r="28" spans="1:10" s="164" customFormat="1" ht="15" customHeight="1" x14ac:dyDescent="0.2">
      <c r="A28" s="173" t="s">
        <v>119</v>
      </c>
      <c r="B28" s="167">
        <v>0</v>
      </c>
      <c r="C28" s="166">
        <v>0</v>
      </c>
      <c r="D28" s="158">
        <v>0</v>
      </c>
      <c r="E28" s="157">
        <v>0</v>
      </c>
      <c r="F28" s="167">
        <v>3</v>
      </c>
      <c r="G28" s="166">
        <v>1</v>
      </c>
      <c r="H28" s="158">
        <v>4</v>
      </c>
      <c r="I28" s="157">
        <v>8</v>
      </c>
      <c r="J28" s="156">
        <v>8</v>
      </c>
    </row>
    <row r="29" spans="1:10" s="164" customFormat="1" ht="15" customHeight="1" x14ac:dyDescent="0.2">
      <c r="A29" s="209" t="s">
        <v>139</v>
      </c>
      <c r="B29" s="172">
        <v>7</v>
      </c>
      <c r="C29" s="169">
        <v>0</v>
      </c>
      <c r="D29" s="170">
        <v>4</v>
      </c>
      <c r="E29" s="171">
        <v>11</v>
      </c>
      <c r="F29" s="172">
        <v>12</v>
      </c>
      <c r="G29" s="169">
        <v>15</v>
      </c>
      <c r="H29" s="170">
        <v>4</v>
      </c>
      <c r="I29" s="171">
        <v>31</v>
      </c>
      <c r="J29" s="205">
        <v>42</v>
      </c>
    </row>
    <row r="30" spans="1:10" s="164" customFormat="1" ht="15" customHeight="1" x14ac:dyDescent="0.2">
      <c r="A30" s="173" t="s">
        <v>140</v>
      </c>
      <c r="B30" s="167">
        <v>0</v>
      </c>
      <c r="C30" s="166">
        <v>0</v>
      </c>
      <c r="D30" s="158">
        <v>0</v>
      </c>
      <c r="E30" s="157">
        <v>0</v>
      </c>
      <c r="F30" s="167">
        <v>0</v>
      </c>
      <c r="G30" s="166">
        <v>0</v>
      </c>
      <c r="H30" s="158">
        <v>0</v>
      </c>
      <c r="I30" s="157">
        <v>0</v>
      </c>
      <c r="J30" s="156">
        <v>0</v>
      </c>
    </row>
    <row r="31" spans="1:10" s="164" customFormat="1" ht="15" customHeight="1" x14ac:dyDescent="0.2">
      <c r="A31" s="209" t="s">
        <v>141</v>
      </c>
      <c r="B31" s="172">
        <v>0</v>
      </c>
      <c r="C31" s="169">
        <v>0</v>
      </c>
      <c r="D31" s="170">
        <v>1</v>
      </c>
      <c r="E31" s="171">
        <v>1</v>
      </c>
      <c r="F31" s="172">
        <v>0</v>
      </c>
      <c r="G31" s="169">
        <v>1</v>
      </c>
      <c r="H31" s="170">
        <v>0</v>
      </c>
      <c r="I31" s="171">
        <v>1</v>
      </c>
      <c r="J31" s="205">
        <v>2</v>
      </c>
    </row>
    <row r="32" spans="1:10" s="164" customFormat="1" ht="15" customHeight="1" x14ac:dyDescent="0.2">
      <c r="A32" s="173" t="s">
        <v>142</v>
      </c>
      <c r="B32" s="167">
        <v>0</v>
      </c>
      <c r="C32" s="166">
        <v>0</v>
      </c>
      <c r="D32" s="158">
        <v>0</v>
      </c>
      <c r="E32" s="157">
        <v>0</v>
      </c>
      <c r="F32" s="167">
        <v>0</v>
      </c>
      <c r="G32" s="166">
        <v>0</v>
      </c>
      <c r="H32" s="158">
        <v>0</v>
      </c>
      <c r="I32" s="157">
        <v>0</v>
      </c>
      <c r="J32" s="156">
        <v>0</v>
      </c>
    </row>
    <row r="33" spans="1:10" s="164" customFormat="1" ht="15" customHeight="1" x14ac:dyDescent="0.2">
      <c r="A33" s="209" t="s">
        <v>75</v>
      </c>
      <c r="B33" s="172">
        <v>5</v>
      </c>
      <c r="C33" s="169">
        <v>5</v>
      </c>
      <c r="D33" s="170">
        <v>2</v>
      </c>
      <c r="E33" s="171">
        <v>12</v>
      </c>
      <c r="F33" s="172">
        <v>21</v>
      </c>
      <c r="G33" s="169">
        <v>12</v>
      </c>
      <c r="H33" s="170">
        <v>26</v>
      </c>
      <c r="I33" s="171">
        <v>59</v>
      </c>
      <c r="J33" s="205">
        <v>71</v>
      </c>
    </row>
    <row r="34" spans="1:10" s="164" customFormat="1" ht="15" customHeight="1" x14ac:dyDescent="0.2">
      <c r="A34" s="173" t="s">
        <v>143</v>
      </c>
      <c r="B34" s="167">
        <v>0</v>
      </c>
      <c r="C34" s="166">
        <v>0</v>
      </c>
      <c r="D34" s="158">
        <v>0</v>
      </c>
      <c r="E34" s="157">
        <v>0</v>
      </c>
      <c r="F34" s="167">
        <v>0</v>
      </c>
      <c r="G34" s="166">
        <v>0</v>
      </c>
      <c r="H34" s="158">
        <v>0</v>
      </c>
      <c r="I34" s="157">
        <v>0</v>
      </c>
      <c r="J34" s="156">
        <v>0</v>
      </c>
    </row>
    <row r="35" spans="1:10" s="164" customFormat="1" ht="15" customHeight="1" x14ac:dyDescent="0.2">
      <c r="A35" s="209" t="s">
        <v>77</v>
      </c>
      <c r="B35" s="172">
        <v>0</v>
      </c>
      <c r="C35" s="169">
        <v>0</v>
      </c>
      <c r="D35" s="170">
        <v>1</v>
      </c>
      <c r="E35" s="171">
        <v>1</v>
      </c>
      <c r="F35" s="172">
        <v>2</v>
      </c>
      <c r="G35" s="169">
        <v>1</v>
      </c>
      <c r="H35" s="170">
        <v>1</v>
      </c>
      <c r="I35" s="171">
        <v>4</v>
      </c>
      <c r="J35" s="205">
        <v>5</v>
      </c>
    </row>
    <row r="36" spans="1:10" s="164" customFormat="1" ht="15" customHeight="1" x14ac:dyDescent="0.2">
      <c r="A36" s="173" t="s">
        <v>144</v>
      </c>
      <c r="B36" s="167">
        <v>0</v>
      </c>
      <c r="C36" s="166">
        <v>1</v>
      </c>
      <c r="D36" s="158">
        <v>0</v>
      </c>
      <c r="E36" s="157">
        <v>1</v>
      </c>
      <c r="F36" s="167">
        <v>1</v>
      </c>
      <c r="G36" s="166">
        <v>0</v>
      </c>
      <c r="H36" s="158">
        <v>0</v>
      </c>
      <c r="I36" s="157">
        <v>1</v>
      </c>
      <c r="J36" s="156">
        <v>2</v>
      </c>
    </row>
    <row r="37" spans="1:10" s="164" customFormat="1" ht="15" customHeight="1" x14ac:dyDescent="0.2">
      <c r="A37" s="209" t="s">
        <v>82</v>
      </c>
      <c r="B37" s="172">
        <v>0</v>
      </c>
      <c r="C37" s="169">
        <v>1</v>
      </c>
      <c r="D37" s="170">
        <v>0</v>
      </c>
      <c r="E37" s="171">
        <v>1</v>
      </c>
      <c r="F37" s="172">
        <v>10</v>
      </c>
      <c r="G37" s="169">
        <v>9</v>
      </c>
      <c r="H37" s="170">
        <v>8</v>
      </c>
      <c r="I37" s="171">
        <v>27</v>
      </c>
      <c r="J37" s="205">
        <v>28</v>
      </c>
    </row>
    <row r="38" spans="1:10" s="164" customFormat="1" ht="15" customHeight="1" x14ac:dyDescent="0.2">
      <c r="A38" s="173" t="s">
        <v>145</v>
      </c>
      <c r="B38" s="167">
        <v>0</v>
      </c>
      <c r="C38" s="166">
        <v>0</v>
      </c>
      <c r="D38" s="158">
        <v>0</v>
      </c>
      <c r="E38" s="157">
        <v>0</v>
      </c>
      <c r="F38" s="167">
        <v>1</v>
      </c>
      <c r="G38" s="166">
        <v>1</v>
      </c>
      <c r="H38" s="158">
        <v>0</v>
      </c>
      <c r="I38" s="157">
        <v>2</v>
      </c>
      <c r="J38" s="156">
        <v>2</v>
      </c>
    </row>
    <row r="39" spans="1:10" s="164" customFormat="1" ht="15" customHeight="1" x14ac:dyDescent="0.2">
      <c r="A39" s="209" t="s">
        <v>146</v>
      </c>
      <c r="B39" s="172">
        <v>3</v>
      </c>
      <c r="C39" s="169">
        <v>11</v>
      </c>
      <c r="D39" s="170">
        <v>6</v>
      </c>
      <c r="E39" s="171">
        <v>20</v>
      </c>
      <c r="F39" s="172">
        <v>27</v>
      </c>
      <c r="G39" s="169">
        <v>29</v>
      </c>
      <c r="H39" s="170">
        <v>22</v>
      </c>
      <c r="I39" s="171">
        <v>78</v>
      </c>
      <c r="J39" s="205">
        <v>98</v>
      </c>
    </row>
    <row r="40" spans="1:10" s="164" customFormat="1" ht="15" customHeight="1" x14ac:dyDescent="0.2">
      <c r="A40" s="173" t="s">
        <v>147</v>
      </c>
      <c r="B40" s="167">
        <v>0</v>
      </c>
      <c r="C40" s="166">
        <v>0</v>
      </c>
      <c r="D40" s="158">
        <v>0</v>
      </c>
      <c r="E40" s="157">
        <v>0</v>
      </c>
      <c r="F40" s="167">
        <v>1</v>
      </c>
      <c r="G40" s="166">
        <v>0</v>
      </c>
      <c r="H40" s="158">
        <v>0</v>
      </c>
      <c r="I40" s="157">
        <v>1</v>
      </c>
      <c r="J40" s="156">
        <v>1</v>
      </c>
    </row>
    <row r="41" spans="1:10" s="164" customFormat="1" ht="15" customHeight="1" x14ac:dyDescent="0.2">
      <c r="A41" s="209" t="s">
        <v>148</v>
      </c>
      <c r="B41" s="172">
        <v>0</v>
      </c>
      <c r="C41" s="169">
        <v>0</v>
      </c>
      <c r="D41" s="170">
        <v>0</v>
      </c>
      <c r="E41" s="171">
        <v>0</v>
      </c>
      <c r="F41" s="172">
        <v>0</v>
      </c>
      <c r="G41" s="169">
        <v>0</v>
      </c>
      <c r="H41" s="170">
        <v>0</v>
      </c>
      <c r="I41" s="171">
        <v>0</v>
      </c>
      <c r="J41" s="205">
        <v>0</v>
      </c>
    </row>
    <row r="42" spans="1:10" s="164" customFormat="1" ht="15" customHeight="1" x14ac:dyDescent="0.2">
      <c r="A42" s="173" t="s">
        <v>92</v>
      </c>
      <c r="B42" s="167">
        <v>0</v>
      </c>
      <c r="C42" s="166">
        <v>0</v>
      </c>
      <c r="D42" s="158">
        <v>0</v>
      </c>
      <c r="E42" s="157">
        <v>0</v>
      </c>
      <c r="F42" s="167">
        <v>0</v>
      </c>
      <c r="G42" s="166">
        <v>0</v>
      </c>
      <c r="H42" s="158">
        <v>0</v>
      </c>
      <c r="I42" s="157">
        <v>0</v>
      </c>
      <c r="J42" s="156">
        <v>0</v>
      </c>
    </row>
    <row r="43" spans="1:10" s="164" customFormat="1" ht="15" customHeight="1" x14ac:dyDescent="0.2">
      <c r="A43" s="209" t="s">
        <v>93</v>
      </c>
      <c r="B43" s="172">
        <v>32</v>
      </c>
      <c r="C43" s="169">
        <v>13</v>
      </c>
      <c r="D43" s="170">
        <v>2</v>
      </c>
      <c r="E43" s="171">
        <v>47</v>
      </c>
      <c r="F43" s="172">
        <v>11</v>
      </c>
      <c r="G43" s="169">
        <v>23</v>
      </c>
      <c r="H43" s="170">
        <v>26</v>
      </c>
      <c r="I43" s="171">
        <v>60</v>
      </c>
      <c r="J43" s="205">
        <v>107</v>
      </c>
    </row>
    <row r="44" spans="1:10" s="164" customFormat="1" ht="15" customHeight="1" x14ac:dyDescent="0.2">
      <c r="A44" s="173" t="s">
        <v>94</v>
      </c>
      <c r="B44" s="167">
        <v>1</v>
      </c>
      <c r="C44" s="166">
        <v>3</v>
      </c>
      <c r="D44" s="158">
        <v>1</v>
      </c>
      <c r="E44" s="157">
        <v>5</v>
      </c>
      <c r="F44" s="167">
        <v>3</v>
      </c>
      <c r="G44" s="166">
        <v>1</v>
      </c>
      <c r="H44" s="158">
        <v>1</v>
      </c>
      <c r="I44" s="157">
        <v>5</v>
      </c>
      <c r="J44" s="156">
        <v>10</v>
      </c>
    </row>
    <row r="45" spans="1:10" s="164" customFormat="1" x14ac:dyDescent="0.2">
      <c r="A45" s="62"/>
      <c r="B45" s="76"/>
      <c r="C45" s="72"/>
      <c r="D45" s="68"/>
      <c r="E45" s="67"/>
      <c r="F45" s="76"/>
      <c r="G45" s="72"/>
      <c r="H45" s="68"/>
      <c r="I45" s="67"/>
      <c r="J45" s="58"/>
    </row>
    <row r="46" spans="1:10" ht="15.75" thickBot="1" x14ac:dyDescent="0.3">
      <c r="A46" s="111" t="s">
        <v>229</v>
      </c>
      <c r="B46" s="116">
        <v>61</v>
      </c>
      <c r="C46" s="112">
        <v>49</v>
      </c>
      <c r="D46" s="114">
        <v>42</v>
      </c>
      <c r="E46" s="113">
        <v>152</v>
      </c>
      <c r="F46" s="116">
        <v>137</v>
      </c>
      <c r="G46" s="112">
        <v>166</v>
      </c>
      <c r="H46" s="114">
        <v>150</v>
      </c>
      <c r="I46" s="113">
        <v>453</v>
      </c>
      <c r="J46" s="112">
        <v>605</v>
      </c>
    </row>
    <row r="47" spans="1:10" ht="15" x14ac:dyDescent="0.2">
      <c r="A47" s="44"/>
      <c r="B47" s="44"/>
      <c r="C47" s="44"/>
      <c r="D47" s="44"/>
      <c r="E47" s="44"/>
      <c r="F47" s="44"/>
      <c r="G47" s="44"/>
      <c r="H47" s="44"/>
      <c r="I47" s="3"/>
      <c r="J47" s="42" t="s">
        <v>207</v>
      </c>
    </row>
    <row r="51" spans="1:1" x14ac:dyDescent="0.2">
      <c r="A51" s="3"/>
    </row>
  </sheetData>
  <mergeCells count="2">
    <mergeCell ref="B3:D3"/>
    <mergeCell ref="F3:H3"/>
  </mergeCells>
  <phoneticPr fontId="0" type="noConversion"/>
  <pageMargins left="0.75" right="0.75" top="1" bottom="1" header="0.5" footer="0.5"/>
  <pageSetup paperSize="9" scale="6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
  <sheetViews>
    <sheetView showGridLines="0" topLeftCell="A56" zoomScaleNormal="100" workbookViewId="0">
      <selection activeCell="A76" sqref="A76"/>
    </sheetView>
  </sheetViews>
  <sheetFormatPr defaultRowHeight="12.75" x14ac:dyDescent="0.2"/>
  <cols>
    <col min="1" max="1" width="24.5703125" customWidth="1"/>
    <col min="2" max="3" width="15.5703125" customWidth="1"/>
    <col min="4" max="6" width="15.42578125" customWidth="1"/>
  </cols>
  <sheetData>
    <row r="1" spans="1:6" s="124" customFormat="1" ht="15" customHeight="1" thickTop="1" x14ac:dyDescent="0.25">
      <c r="A1" s="121" t="s">
        <v>424</v>
      </c>
    </row>
    <row r="2" spans="1:6" ht="12.75" customHeight="1" x14ac:dyDescent="0.25">
      <c r="A2" s="47"/>
    </row>
    <row r="3" spans="1:6" ht="12.75" customHeight="1" thickBot="1" x14ac:dyDescent="0.25">
      <c r="A3" s="49"/>
      <c r="B3" s="50"/>
      <c r="C3" s="50"/>
      <c r="D3" s="50"/>
      <c r="E3" s="50"/>
      <c r="F3" s="50" t="s">
        <v>182</v>
      </c>
    </row>
    <row r="4" spans="1:6" s="364" customFormat="1" ht="21" customHeight="1" x14ac:dyDescent="0.2">
      <c r="A4" s="179"/>
      <c r="B4" s="289" t="s">
        <v>425</v>
      </c>
      <c r="C4" s="289" t="s">
        <v>426</v>
      </c>
      <c r="D4" s="289" t="s">
        <v>427</v>
      </c>
      <c r="E4" s="289" t="s">
        <v>428</v>
      </c>
      <c r="F4" s="289" t="s">
        <v>429</v>
      </c>
    </row>
    <row r="5" spans="1:6" s="366" customFormat="1" x14ac:dyDescent="0.2">
      <c r="A5" s="79" t="s">
        <v>183</v>
      </c>
      <c r="B5" s="365"/>
      <c r="C5" s="365"/>
      <c r="D5" s="365"/>
      <c r="E5" s="365"/>
      <c r="F5" s="365"/>
    </row>
    <row r="6" spans="1:6" s="366" customFormat="1" x14ac:dyDescent="0.2">
      <c r="A6" s="78" t="s">
        <v>238</v>
      </c>
      <c r="B6" s="366">
        <v>6.97</v>
      </c>
      <c r="C6" s="366">
        <v>11.29</v>
      </c>
      <c r="D6" s="366">
        <v>10.97</v>
      </c>
      <c r="E6" s="366">
        <v>11.39</v>
      </c>
      <c r="F6" s="366">
        <v>6.91</v>
      </c>
    </row>
    <row r="7" spans="1:6" s="366" customFormat="1" x14ac:dyDescent="0.2">
      <c r="A7" s="78" t="s">
        <v>184</v>
      </c>
      <c r="B7" s="366">
        <v>0.54</v>
      </c>
      <c r="C7" s="366">
        <v>0.87</v>
      </c>
      <c r="D7" s="366">
        <v>0.84</v>
      </c>
      <c r="E7" s="366">
        <v>0.88</v>
      </c>
      <c r="F7" s="366">
        <v>0.53</v>
      </c>
    </row>
    <row r="8" spans="1:6" s="366" customFormat="1" x14ac:dyDescent="0.2">
      <c r="A8" s="78"/>
    </row>
    <row r="9" spans="1:6" s="366" customFormat="1" x14ac:dyDescent="0.2">
      <c r="A9" s="79" t="s">
        <v>185</v>
      </c>
    </row>
    <row r="10" spans="1:6" s="366" customFormat="1" x14ac:dyDescent="0.2">
      <c r="A10" s="78" t="s">
        <v>239</v>
      </c>
      <c r="B10" s="366">
        <v>7.98</v>
      </c>
      <c r="C10" s="366">
        <v>9.0299999999999994</v>
      </c>
      <c r="D10" s="366">
        <v>8.86</v>
      </c>
      <c r="E10" s="366">
        <v>9.1</v>
      </c>
      <c r="F10" s="366">
        <v>7.69</v>
      </c>
    </row>
    <row r="11" spans="1:6" s="366" customFormat="1" x14ac:dyDescent="0.2">
      <c r="A11" s="78" t="s">
        <v>184</v>
      </c>
      <c r="B11" s="366">
        <v>0.61</v>
      </c>
      <c r="C11" s="366">
        <v>0.69</v>
      </c>
      <c r="D11" s="366">
        <v>0.68</v>
      </c>
      <c r="E11" s="366">
        <v>0.7</v>
      </c>
      <c r="F11" s="366">
        <v>0.59</v>
      </c>
    </row>
    <row r="12" spans="1:6" s="366" customFormat="1" x14ac:dyDescent="0.2">
      <c r="A12" s="78"/>
    </row>
    <row r="13" spans="1:6" s="366" customFormat="1" x14ac:dyDescent="0.2">
      <c r="A13" s="79" t="s">
        <v>247</v>
      </c>
    </row>
    <row r="14" spans="1:6" s="366" customFormat="1" x14ac:dyDescent="0.2">
      <c r="A14" s="78" t="s">
        <v>240</v>
      </c>
      <c r="B14" s="366">
        <v>15.5</v>
      </c>
      <c r="C14" s="366">
        <v>23.05</v>
      </c>
      <c r="D14" s="366">
        <v>22.34</v>
      </c>
      <c r="E14" s="366">
        <v>22.87</v>
      </c>
      <c r="F14" s="366">
        <v>15.7</v>
      </c>
    </row>
    <row r="15" spans="1:6" s="366" customFormat="1" ht="13.5" thickBot="1" x14ac:dyDescent="0.25">
      <c r="A15" s="80" t="s">
        <v>184</v>
      </c>
      <c r="B15" s="367">
        <v>1.19</v>
      </c>
      <c r="C15" s="367">
        <v>1.77</v>
      </c>
      <c r="D15" s="367">
        <v>1.72</v>
      </c>
      <c r="E15" s="367">
        <v>1.76</v>
      </c>
      <c r="F15" s="367">
        <v>1.21</v>
      </c>
    </row>
    <row r="16" spans="1:6" s="364" customFormat="1" ht="12.75" customHeight="1" x14ac:dyDescent="0.2">
      <c r="A16" s="78"/>
      <c r="B16" s="50"/>
      <c r="C16" s="50"/>
      <c r="D16" s="50"/>
      <c r="E16" s="50"/>
      <c r="F16" s="50" t="s">
        <v>186</v>
      </c>
    </row>
    <row r="17" spans="1:6" s="364" customFormat="1" ht="17.25" customHeight="1" x14ac:dyDescent="0.2">
      <c r="A17" s="81"/>
    </row>
    <row r="18" spans="1:6" s="364" customFormat="1" x14ac:dyDescent="0.2">
      <c r="A18" s="81"/>
    </row>
    <row r="19" spans="1:6" s="364" customFormat="1" x14ac:dyDescent="0.2">
      <c r="A19" s="81"/>
    </row>
    <row r="20" spans="1:6" s="364" customFormat="1" x14ac:dyDescent="0.2">
      <c r="A20" s="81"/>
    </row>
    <row r="21" spans="1:6" s="124" customFormat="1" ht="15" customHeight="1" x14ac:dyDescent="0.25">
      <c r="A21" s="122" t="s">
        <v>430</v>
      </c>
    </row>
    <row r="22" spans="1:6" s="364" customFormat="1" ht="12.75" customHeight="1" x14ac:dyDescent="0.2">
      <c r="A22" s="83" t="s">
        <v>187</v>
      </c>
    </row>
    <row r="23" spans="1:6" s="364" customFormat="1" ht="12.75" customHeight="1" thickBot="1" x14ac:dyDescent="0.25">
      <c r="A23" s="81"/>
      <c r="B23" s="50"/>
      <c r="C23" s="50"/>
      <c r="D23" s="50"/>
      <c r="E23" s="50"/>
      <c r="F23" s="50"/>
    </row>
    <row r="24" spans="1:6" s="364" customFormat="1" ht="21" customHeight="1" x14ac:dyDescent="0.2">
      <c r="A24" s="180"/>
      <c r="B24" s="289" t="s">
        <v>431</v>
      </c>
      <c r="C24" s="289" t="s">
        <v>292</v>
      </c>
      <c r="D24" s="289" t="s">
        <v>293</v>
      </c>
      <c r="E24" s="289" t="s">
        <v>432</v>
      </c>
      <c r="F24" s="289" t="s">
        <v>429</v>
      </c>
    </row>
    <row r="25" spans="1:6" s="366" customFormat="1" x14ac:dyDescent="0.2">
      <c r="A25" s="117" t="s">
        <v>183</v>
      </c>
      <c r="B25" s="365"/>
      <c r="C25" s="365"/>
      <c r="D25" s="365"/>
      <c r="E25" s="365"/>
      <c r="F25" s="365"/>
    </row>
    <row r="26" spans="1:6" s="366" customFormat="1" x14ac:dyDescent="0.2">
      <c r="A26" s="78" t="s">
        <v>238</v>
      </c>
      <c r="B26" s="366">
        <v>5.88</v>
      </c>
      <c r="C26" s="366">
        <v>6.91</v>
      </c>
      <c r="D26" s="366">
        <v>6.44</v>
      </c>
      <c r="E26" s="366">
        <v>6.51</v>
      </c>
      <c r="F26" s="366">
        <v>5.92</v>
      </c>
    </row>
    <row r="27" spans="1:6" s="366" customFormat="1" x14ac:dyDescent="0.2">
      <c r="A27" s="78" t="s">
        <v>184</v>
      </c>
      <c r="B27" s="366">
        <v>0.45</v>
      </c>
      <c r="C27" s="366">
        <v>0.53</v>
      </c>
      <c r="D27" s="366">
        <v>0.5</v>
      </c>
      <c r="E27" s="366">
        <v>0.5</v>
      </c>
      <c r="F27" s="366">
        <v>0.46</v>
      </c>
    </row>
    <row r="28" spans="1:6" s="366" customFormat="1" x14ac:dyDescent="0.2">
      <c r="A28" s="78"/>
    </row>
    <row r="29" spans="1:6" s="366" customFormat="1" x14ac:dyDescent="0.2">
      <c r="A29" s="79" t="s">
        <v>185</v>
      </c>
    </row>
    <row r="30" spans="1:6" s="366" customFormat="1" x14ac:dyDescent="0.2">
      <c r="A30" s="78" t="s">
        <v>241</v>
      </c>
      <c r="B30" s="366">
        <v>2.0499999999999998</v>
      </c>
      <c r="C30" s="366">
        <v>2.06</v>
      </c>
      <c r="D30" s="366">
        <v>2.0299999999999998</v>
      </c>
      <c r="E30" s="366">
        <v>2.04</v>
      </c>
      <c r="F30" s="366">
        <v>1.91</v>
      </c>
    </row>
    <row r="31" spans="1:6" s="366" customFormat="1" x14ac:dyDescent="0.2">
      <c r="A31" s="78" t="s">
        <v>184</v>
      </c>
      <c r="B31" s="366">
        <v>0.16</v>
      </c>
      <c r="C31" s="366">
        <v>0.16</v>
      </c>
      <c r="D31" s="366">
        <v>0.16</v>
      </c>
      <c r="E31" s="366">
        <v>0.16</v>
      </c>
      <c r="F31" s="366">
        <v>0.15</v>
      </c>
    </row>
    <row r="32" spans="1:6" s="366" customFormat="1" x14ac:dyDescent="0.2">
      <c r="A32" s="78"/>
    </row>
    <row r="33" spans="1:6" s="366" customFormat="1" x14ac:dyDescent="0.2">
      <c r="A33" s="79" t="s">
        <v>247</v>
      </c>
    </row>
    <row r="34" spans="1:6" s="366" customFormat="1" x14ac:dyDescent="0.2">
      <c r="A34" s="78" t="s">
        <v>240</v>
      </c>
      <c r="B34" s="366">
        <v>7.7</v>
      </c>
      <c r="C34" s="366">
        <v>9.11</v>
      </c>
      <c r="D34" s="366">
        <v>8.35</v>
      </c>
      <c r="E34" s="366">
        <v>8.4</v>
      </c>
      <c r="F34" s="366">
        <v>7.64</v>
      </c>
    </row>
    <row r="35" spans="1:6" s="366" customFormat="1" ht="13.5" thickBot="1" x14ac:dyDescent="0.25">
      <c r="A35" s="80" t="s">
        <v>184</v>
      </c>
      <c r="B35" s="367">
        <v>0.59</v>
      </c>
      <c r="C35" s="367">
        <v>0.7</v>
      </c>
      <c r="D35" s="367">
        <v>0.64</v>
      </c>
      <c r="E35" s="367">
        <v>0.65</v>
      </c>
      <c r="F35" s="367">
        <v>0.59</v>
      </c>
    </row>
    <row r="36" spans="1:6" s="364" customFormat="1" ht="12.75" customHeight="1" x14ac:dyDescent="0.2">
      <c r="A36" s="78"/>
      <c r="B36" s="50"/>
      <c r="C36" s="50"/>
      <c r="D36" s="50"/>
      <c r="E36" s="50"/>
      <c r="F36" s="50" t="s">
        <v>186</v>
      </c>
    </row>
    <row r="37" spans="1:6" s="364" customFormat="1" ht="17.25" customHeight="1" x14ac:dyDescent="0.2">
      <c r="A37" s="81"/>
    </row>
    <row r="38" spans="1:6" s="364" customFormat="1" x14ac:dyDescent="0.2">
      <c r="A38" s="81"/>
    </row>
    <row r="39" spans="1:6" s="364" customFormat="1" x14ac:dyDescent="0.2">
      <c r="A39" s="81"/>
    </row>
    <row r="40" spans="1:6" s="364" customFormat="1" ht="13.5" thickBot="1" x14ac:dyDescent="0.25">
      <c r="A40" s="85"/>
    </row>
    <row r="41" spans="1:6" s="127" customFormat="1" ht="15" customHeight="1" x14ac:dyDescent="0.25">
      <c r="A41" s="125" t="s">
        <v>433</v>
      </c>
    </row>
    <row r="42" spans="1:6" s="364" customFormat="1" x14ac:dyDescent="0.2">
      <c r="A42" s="83"/>
    </row>
    <row r="43" spans="1:6" s="364" customFormat="1" ht="12.75" customHeight="1" thickBot="1" x14ac:dyDescent="0.25">
      <c r="A43" s="81"/>
      <c r="B43" s="368"/>
      <c r="C43" s="368"/>
      <c r="D43" s="368"/>
      <c r="E43" s="368"/>
      <c r="F43" s="368" t="s">
        <v>182</v>
      </c>
    </row>
    <row r="44" spans="1:6" s="364" customFormat="1" ht="21" customHeight="1" x14ac:dyDescent="0.2">
      <c r="A44" s="180"/>
      <c r="B44" s="289" t="s">
        <v>431</v>
      </c>
      <c r="C44" s="289" t="s">
        <v>434</v>
      </c>
      <c r="D44" s="289" t="s">
        <v>293</v>
      </c>
      <c r="E44" s="289" t="s">
        <v>435</v>
      </c>
      <c r="F44" s="289" t="s">
        <v>436</v>
      </c>
    </row>
    <row r="45" spans="1:6" s="366" customFormat="1" x14ac:dyDescent="0.2">
      <c r="A45" s="79" t="s">
        <v>183</v>
      </c>
      <c r="B45" s="365"/>
      <c r="C45" s="365"/>
      <c r="D45" s="365"/>
      <c r="E45" s="365"/>
      <c r="F45" s="365"/>
    </row>
    <row r="46" spans="1:6" s="366" customFormat="1" ht="14.25" customHeight="1" x14ac:dyDescent="0.2">
      <c r="A46" s="78" t="s">
        <v>238</v>
      </c>
      <c r="B46" s="366">
        <v>12.85</v>
      </c>
      <c r="C46" s="366">
        <v>18.2</v>
      </c>
      <c r="D46" s="366">
        <v>17.41</v>
      </c>
      <c r="E46" s="366">
        <v>17.899999999999999</v>
      </c>
      <c r="F46" s="366">
        <v>12.83</v>
      </c>
    </row>
    <row r="47" spans="1:6" s="366" customFormat="1" x14ac:dyDescent="0.2">
      <c r="A47" s="78" t="s">
        <v>184</v>
      </c>
      <c r="B47" s="366">
        <v>0.99</v>
      </c>
      <c r="C47" s="366">
        <v>1.4</v>
      </c>
      <c r="D47" s="366">
        <v>1.34</v>
      </c>
      <c r="E47" s="366">
        <v>1.38</v>
      </c>
      <c r="F47" s="366">
        <v>0.99</v>
      </c>
    </row>
    <row r="48" spans="1:6" s="366" customFormat="1" x14ac:dyDescent="0.2">
      <c r="A48" s="78"/>
    </row>
    <row r="49" spans="1:6" s="366" customFormat="1" x14ac:dyDescent="0.2">
      <c r="A49" s="79" t="s">
        <v>185</v>
      </c>
    </row>
    <row r="50" spans="1:6" s="366" customFormat="1" x14ac:dyDescent="0.2">
      <c r="A50" s="78" t="s">
        <v>242</v>
      </c>
      <c r="B50" s="366">
        <v>10.029999999999999</v>
      </c>
      <c r="C50" s="366">
        <v>11.09</v>
      </c>
      <c r="D50" s="366">
        <v>10.89</v>
      </c>
      <c r="E50" s="366">
        <v>11.13</v>
      </c>
      <c r="F50" s="366">
        <v>9.6</v>
      </c>
    </row>
    <row r="51" spans="1:6" s="366" customFormat="1" x14ac:dyDescent="0.2">
      <c r="A51" s="78" t="s">
        <v>184</v>
      </c>
      <c r="B51" s="366">
        <v>0.77</v>
      </c>
      <c r="C51" s="366">
        <v>0.85</v>
      </c>
      <c r="D51" s="366">
        <v>0.84</v>
      </c>
      <c r="E51" s="366">
        <v>0.86</v>
      </c>
      <c r="F51" s="366">
        <v>0.74</v>
      </c>
    </row>
    <row r="52" spans="1:6" s="366" customFormat="1" x14ac:dyDescent="0.2">
      <c r="A52" s="78"/>
    </row>
    <row r="53" spans="1:6" s="366" customFormat="1" x14ac:dyDescent="0.2">
      <c r="A53" s="79" t="s">
        <v>247</v>
      </c>
    </row>
    <row r="54" spans="1:6" s="366" customFormat="1" ht="15" customHeight="1" x14ac:dyDescent="0.2">
      <c r="A54" s="78" t="s">
        <v>243</v>
      </c>
      <c r="B54" s="366">
        <v>23.2</v>
      </c>
      <c r="C54" s="366">
        <v>32.159999999999997</v>
      </c>
      <c r="D54" s="366">
        <v>30.69</v>
      </c>
      <c r="E54" s="366">
        <v>31.27</v>
      </c>
      <c r="F54" s="366">
        <v>23.34</v>
      </c>
    </row>
    <row r="55" spans="1:6" s="366" customFormat="1" ht="15.75" customHeight="1" thickBot="1" x14ac:dyDescent="0.25">
      <c r="A55" s="80" t="s">
        <v>184</v>
      </c>
      <c r="B55" s="367">
        <v>1.78</v>
      </c>
      <c r="C55" s="367">
        <v>2.4700000000000002</v>
      </c>
      <c r="D55" s="367">
        <v>2.36</v>
      </c>
      <c r="E55" s="367">
        <v>2.41</v>
      </c>
      <c r="F55" s="367">
        <v>1.8</v>
      </c>
    </row>
    <row r="56" spans="1:6" s="364" customFormat="1" ht="12.75" customHeight="1" x14ac:dyDescent="0.2">
      <c r="A56" s="78"/>
      <c r="F56" s="364" t="s">
        <v>186</v>
      </c>
    </row>
    <row r="57" spans="1:6" s="364" customFormat="1" ht="17.25" customHeight="1" x14ac:dyDescent="0.2">
      <c r="A57" s="81"/>
    </row>
    <row r="58" spans="1:6" s="364" customFormat="1" x14ac:dyDescent="0.2">
      <c r="A58" s="81"/>
    </row>
    <row r="59" spans="1:6" s="364" customFormat="1" x14ac:dyDescent="0.2">
      <c r="A59" s="81"/>
    </row>
    <row r="60" spans="1:6" s="364" customFormat="1" x14ac:dyDescent="0.2">
      <c r="A60" s="81"/>
    </row>
    <row r="61" spans="1:6" s="127" customFormat="1" ht="15" customHeight="1" x14ac:dyDescent="0.25">
      <c r="A61" s="122" t="s">
        <v>437</v>
      </c>
    </row>
    <row r="62" spans="1:6" s="364" customFormat="1" x14ac:dyDescent="0.2">
      <c r="A62" s="83"/>
    </row>
    <row r="63" spans="1:6" s="364" customFormat="1" ht="12.75" customHeight="1" thickBot="1" x14ac:dyDescent="0.25">
      <c r="A63" s="81"/>
      <c r="B63" s="368"/>
      <c r="C63" s="368"/>
      <c r="D63" s="368"/>
      <c r="E63" s="368"/>
      <c r="F63" s="368" t="s">
        <v>182</v>
      </c>
    </row>
    <row r="64" spans="1:6" s="364" customFormat="1" ht="21" customHeight="1" x14ac:dyDescent="0.2">
      <c r="A64" s="179"/>
      <c r="B64" s="289" t="s">
        <v>425</v>
      </c>
      <c r="C64" s="289" t="s">
        <v>434</v>
      </c>
      <c r="D64" s="289" t="s">
        <v>293</v>
      </c>
      <c r="E64" s="289" t="s">
        <v>435</v>
      </c>
      <c r="F64" s="289" t="s">
        <v>436</v>
      </c>
    </row>
    <row r="65" spans="1:6" s="366" customFormat="1" ht="14.25" customHeight="1" x14ac:dyDescent="0.2">
      <c r="A65" s="117" t="s">
        <v>183</v>
      </c>
      <c r="B65" s="365"/>
      <c r="C65" s="365"/>
      <c r="D65" s="365"/>
      <c r="E65" s="365"/>
      <c r="F65" s="365"/>
    </row>
    <row r="66" spans="1:6" s="366" customFormat="1" x14ac:dyDescent="0.2">
      <c r="A66" s="78" t="s">
        <v>238</v>
      </c>
      <c r="B66" s="366">
        <v>2.4700000000000002</v>
      </c>
      <c r="C66" s="366">
        <v>2.7</v>
      </c>
      <c r="D66" s="366">
        <v>2.57</v>
      </c>
      <c r="E66" s="366">
        <v>2.62</v>
      </c>
      <c r="F66" s="366">
        <v>2.57</v>
      </c>
    </row>
    <row r="67" spans="1:6" s="366" customFormat="1" x14ac:dyDescent="0.2">
      <c r="A67" s="78" t="s">
        <v>184</v>
      </c>
      <c r="B67" s="366">
        <v>0.19</v>
      </c>
      <c r="C67" s="366">
        <v>0.21</v>
      </c>
      <c r="D67" s="366">
        <v>0.2</v>
      </c>
      <c r="E67" s="366">
        <v>0.2</v>
      </c>
      <c r="F67" s="366">
        <v>0.2</v>
      </c>
    </row>
    <row r="68" spans="1:6" s="366" customFormat="1" x14ac:dyDescent="0.2">
      <c r="A68" s="78"/>
    </row>
    <row r="69" spans="1:6" s="366" customFormat="1" x14ac:dyDescent="0.2">
      <c r="A69" s="79" t="s">
        <v>188</v>
      </c>
    </row>
    <row r="70" spans="1:6" s="366" customFormat="1" x14ac:dyDescent="0.2">
      <c r="A70" s="78" t="s">
        <v>244</v>
      </c>
      <c r="B70" s="366">
        <v>48.35</v>
      </c>
      <c r="C70" s="366">
        <v>49.11</v>
      </c>
      <c r="D70" s="366">
        <v>47.02</v>
      </c>
      <c r="E70" s="366">
        <v>49.13</v>
      </c>
      <c r="F70" s="366">
        <v>50.38</v>
      </c>
    </row>
    <row r="71" spans="1:6" s="366" customFormat="1" x14ac:dyDescent="0.2">
      <c r="A71" s="78" t="s">
        <v>184</v>
      </c>
      <c r="B71" s="366">
        <v>3.72</v>
      </c>
      <c r="C71" s="366">
        <v>3.78</v>
      </c>
      <c r="D71" s="366">
        <v>3.62</v>
      </c>
      <c r="E71" s="366">
        <v>3.78</v>
      </c>
      <c r="F71" s="366">
        <v>3.88</v>
      </c>
    </row>
    <row r="72" spans="1:6" s="366" customFormat="1" x14ac:dyDescent="0.2">
      <c r="A72" s="78"/>
    </row>
    <row r="73" spans="1:6" s="366" customFormat="1" x14ac:dyDescent="0.2">
      <c r="A73" s="79" t="s">
        <v>247</v>
      </c>
    </row>
    <row r="74" spans="1:6" s="366" customFormat="1" x14ac:dyDescent="0.2">
      <c r="A74" s="78" t="s">
        <v>240</v>
      </c>
      <c r="B74" s="366">
        <v>7.77</v>
      </c>
      <c r="C74" s="366">
        <v>8.2200000000000006</v>
      </c>
      <c r="D74" s="366">
        <v>7.76</v>
      </c>
      <c r="E74" s="366">
        <v>7.99</v>
      </c>
      <c r="F74" s="366">
        <v>8.34</v>
      </c>
    </row>
    <row r="75" spans="1:6" s="366" customFormat="1" ht="13.5" thickBot="1" x14ac:dyDescent="0.25">
      <c r="A75" s="80" t="s">
        <v>184</v>
      </c>
      <c r="B75" s="367">
        <v>0.6</v>
      </c>
      <c r="C75" s="367">
        <v>0.63</v>
      </c>
      <c r="D75" s="367">
        <v>0.6</v>
      </c>
      <c r="E75" s="367">
        <v>0.61</v>
      </c>
      <c r="F75" s="367">
        <v>0.64</v>
      </c>
    </row>
    <row r="76" spans="1:6" s="364" customFormat="1" x14ac:dyDescent="0.2">
      <c r="A76" s="78"/>
      <c r="F76" s="364" t="s">
        <v>186</v>
      </c>
    </row>
    <row r="77" spans="1:6" s="364" customFormat="1" ht="17.25" customHeight="1" x14ac:dyDescent="0.2">
      <c r="A77" s="81"/>
    </row>
    <row r="78" spans="1:6" x14ac:dyDescent="0.2">
      <c r="A78" s="81"/>
    </row>
    <row r="79" spans="1:6" x14ac:dyDescent="0.2">
      <c r="A79" s="81"/>
    </row>
  </sheetData>
  <phoneticPr fontId="0" type="noConversion"/>
  <pageMargins left="0.75" right="0.75" top="1" bottom="1" header="0.5" footer="0.5"/>
  <pageSetup paperSize="9" scale="6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election activeCell="G4" sqref="G4"/>
    </sheetView>
  </sheetViews>
  <sheetFormatPr defaultRowHeight="12.75" x14ac:dyDescent="0.2"/>
  <cols>
    <col min="1" max="1" width="10.28515625" style="20" customWidth="1"/>
    <col min="2" max="2" width="12.5703125" style="20" customWidth="1"/>
    <col min="3" max="3" width="14.28515625" style="20" customWidth="1"/>
    <col min="4" max="4" width="16.7109375" style="20" customWidth="1"/>
    <col min="5" max="16384" width="9.140625" style="20"/>
  </cols>
  <sheetData>
    <row r="1" spans="1:9" ht="15.75" thickTop="1" x14ac:dyDescent="0.25">
      <c r="A1" s="121" t="s">
        <v>409</v>
      </c>
      <c r="C1" s="136"/>
      <c r="D1" s="136"/>
      <c r="E1" s="123"/>
      <c r="F1" s="123"/>
      <c r="G1" s="123"/>
      <c r="H1" s="123"/>
      <c r="I1" s="123"/>
    </row>
    <row r="2" spans="1:9" ht="15.75" x14ac:dyDescent="0.25">
      <c r="B2" s="47"/>
      <c r="C2" s="48"/>
      <c r="D2" s="48"/>
    </row>
    <row r="3" spans="1:9" ht="15.75" thickBot="1" x14ac:dyDescent="0.25">
      <c r="A3" s="79" t="s">
        <v>272</v>
      </c>
      <c r="C3" s="385"/>
      <c r="D3" s="383" t="s">
        <v>182</v>
      </c>
      <c r="E3" s="270"/>
    </row>
    <row r="4" spans="1:9" x14ac:dyDescent="0.2">
      <c r="A4" s="179"/>
      <c r="B4" s="271" t="s">
        <v>410</v>
      </c>
      <c r="C4" s="272" t="s">
        <v>411</v>
      </c>
      <c r="D4" s="386"/>
      <c r="E4" s="273"/>
      <c r="F4" s="273"/>
      <c r="G4" s="273"/>
      <c r="H4" s="273"/>
      <c r="I4" s="273"/>
    </row>
    <row r="5" spans="1:9" x14ac:dyDescent="0.2">
      <c r="A5" s="78" t="s">
        <v>273</v>
      </c>
      <c r="B5" s="290">
        <v>0.54</v>
      </c>
      <c r="C5" s="378">
        <v>0.53</v>
      </c>
      <c r="E5" s="379"/>
      <c r="F5" s="379"/>
      <c r="G5" s="379"/>
      <c r="H5" s="379"/>
      <c r="I5" s="379"/>
    </row>
    <row r="6" spans="1:9" x14ac:dyDescent="0.2">
      <c r="A6" s="78" t="s">
        <v>274</v>
      </c>
      <c r="B6" s="290">
        <v>0.45</v>
      </c>
      <c r="C6" s="380">
        <v>0.46</v>
      </c>
      <c r="E6" s="379"/>
      <c r="F6" s="379"/>
      <c r="G6" s="379"/>
      <c r="H6" s="379"/>
      <c r="I6" s="379"/>
    </row>
    <row r="7" spans="1:9" ht="13.5" thickBot="1" x14ac:dyDescent="0.25">
      <c r="A7" s="388" t="s">
        <v>277</v>
      </c>
      <c r="B7" s="291">
        <v>0.19</v>
      </c>
      <c r="C7" s="381">
        <v>0.2</v>
      </c>
      <c r="D7" s="387"/>
      <c r="E7" s="379"/>
      <c r="F7" s="379"/>
      <c r="G7" s="379"/>
      <c r="H7" s="379"/>
      <c r="I7" s="379"/>
    </row>
    <row r="8" spans="1:9" x14ac:dyDescent="0.2">
      <c r="B8" s="78"/>
      <c r="C8" s="384" t="s">
        <v>186</v>
      </c>
      <c r="E8" s="270"/>
      <c r="F8" s="273"/>
      <c r="G8" s="273"/>
      <c r="H8" s="273"/>
      <c r="I8" s="273"/>
    </row>
    <row r="9" spans="1:9" x14ac:dyDescent="0.2">
      <c r="B9" s="81"/>
      <c r="C9" s="82"/>
      <c r="D9" s="82"/>
      <c r="E9" s="273"/>
      <c r="F9" s="273"/>
      <c r="G9" s="273"/>
      <c r="H9" s="273"/>
      <c r="I9" s="273"/>
    </row>
  </sheetData>
  <phoneticPr fontId="44" type="noConversion"/>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showGridLines="0" workbookViewId="0">
      <selection activeCell="B10" sqref="B10"/>
    </sheetView>
  </sheetViews>
  <sheetFormatPr defaultRowHeight="12.75" x14ac:dyDescent="0.2"/>
  <cols>
    <col min="1" max="1" width="24.7109375" style="21" customWidth="1"/>
    <col min="2" max="2" width="10.7109375" style="21" customWidth="1"/>
    <col min="3" max="3" width="6.7109375" style="21" customWidth="1"/>
    <col min="4" max="4" width="10.7109375" style="21" customWidth="1"/>
    <col min="5" max="5" width="6.7109375" style="21" customWidth="1"/>
    <col min="6" max="6" width="10.7109375" style="21" customWidth="1"/>
    <col min="7" max="7" width="6.7109375" style="21" customWidth="1"/>
    <col min="8" max="8" width="10.7109375" style="21" customWidth="1"/>
    <col min="9" max="9" width="6.7109375" style="21" customWidth="1"/>
    <col min="10" max="10" width="10.7109375" style="21" customWidth="1"/>
    <col min="11" max="11" width="6.7109375" style="21" customWidth="1"/>
    <col min="12" max="16384" width="9.140625" style="21"/>
  </cols>
  <sheetData>
    <row r="1" spans="1:11" ht="15" customHeight="1" thickTop="1" x14ac:dyDescent="0.25">
      <c r="A1" s="141" t="s">
        <v>403</v>
      </c>
    </row>
    <row r="2" spans="1:11" ht="16.5" thickBot="1" x14ac:dyDescent="0.3">
      <c r="A2" s="51"/>
      <c r="B2" s="265"/>
      <c r="D2" s="265"/>
      <c r="F2" s="265"/>
      <c r="G2" s="190"/>
      <c r="H2" s="265"/>
      <c r="I2" s="190"/>
      <c r="J2" s="265"/>
      <c r="K2" s="190" t="s">
        <v>232</v>
      </c>
    </row>
    <row r="3" spans="1:11" s="45" customFormat="1" ht="15" thickBot="1" x14ac:dyDescent="0.25">
      <c r="A3" s="119"/>
      <c r="B3" s="420" t="s">
        <v>28</v>
      </c>
      <c r="C3" s="420"/>
      <c r="D3" s="420" t="s">
        <v>324</v>
      </c>
      <c r="E3" s="420"/>
      <c r="F3" s="420" t="s">
        <v>325</v>
      </c>
      <c r="G3" s="420"/>
      <c r="H3" s="420" t="s">
        <v>412</v>
      </c>
      <c r="I3" s="420"/>
      <c r="J3" s="420" t="s">
        <v>413</v>
      </c>
      <c r="K3" s="420"/>
    </row>
    <row r="4" spans="1:11" s="45" customFormat="1" ht="13.5" thickTop="1" x14ac:dyDescent="0.2">
      <c r="A4" s="120"/>
      <c r="B4" s="369" t="s">
        <v>190</v>
      </c>
      <c r="C4" s="370" t="s">
        <v>191</v>
      </c>
      <c r="D4" s="369" t="s">
        <v>190</v>
      </c>
      <c r="E4" s="370" t="s">
        <v>191</v>
      </c>
      <c r="F4" s="369" t="s">
        <v>190</v>
      </c>
      <c r="G4" s="370" t="s">
        <v>191</v>
      </c>
      <c r="H4" s="369" t="s">
        <v>190</v>
      </c>
      <c r="I4" s="370" t="s">
        <v>191</v>
      </c>
      <c r="J4" s="369" t="s">
        <v>190</v>
      </c>
      <c r="K4" s="370" t="s">
        <v>191</v>
      </c>
    </row>
    <row r="5" spans="1:11" s="45" customFormat="1" x14ac:dyDescent="0.2">
      <c r="A5" s="140" t="s">
        <v>235</v>
      </c>
      <c r="B5" s="86"/>
      <c r="C5" s="139"/>
      <c r="D5" s="86"/>
      <c r="E5" s="139"/>
      <c r="F5" s="86"/>
      <c r="G5" s="139"/>
      <c r="H5" s="86"/>
      <c r="I5" s="139"/>
      <c r="J5" s="86"/>
      <c r="K5" s="139"/>
    </row>
    <row r="6" spans="1:11" s="45" customFormat="1" x14ac:dyDescent="0.2">
      <c r="A6" s="87"/>
      <c r="B6" s="200"/>
      <c r="C6" s="201"/>
      <c r="D6" s="200"/>
      <c r="E6" s="201"/>
      <c r="F6" s="200"/>
      <c r="G6" s="201"/>
      <c r="H6" s="200"/>
      <c r="I6" s="201"/>
      <c r="J6" s="200"/>
      <c r="K6" s="201"/>
    </row>
    <row r="7" spans="1:11" s="45" customFormat="1" ht="14.25" x14ac:dyDescent="0.2">
      <c r="A7" s="88" t="s">
        <v>285</v>
      </c>
      <c r="B7" s="147"/>
      <c r="C7" s="202"/>
      <c r="D7" s="147"/>
      <c r="E7" s="202"/>
      <c r="F7" s="147"/>
      <c r="G7" s="202"/>
      <c r="H7" s="147"/>
      <c r="I7" s="202"/>
      <c r="J7" s="147"/>
      <c r="K7" s="202"/>
    </row>
    <row r="8" spans="1:11" s="45" customFormat="1" ht="14.25" x14ac:dyDescent="0.2">
      <c r="A8" s="89" t="s">
        <v>286</v>
      </c>
      <c r="B8" s="195">
        <v>6345</v>
      </c>
      <c r="C8" s="224">
        <v>3.1</v>
      </c>
      <c r="D8" s="195">
        <v>6795</v>
      </c>
      <c r="E8" s="224">
        <v>3.8</v>
      </c>
      <c r="F8" s="195">
        <v>6122</v>
      </c>
      <c r="G8" s="224">
        <v>3.2</v>
      </c>
      <c r="H8" s="195">
        <v>6698</v>
      </c>
      <c r="I8" s="224">
        <v>3.4</v>
      </c>
      <c r="J8" s="195">
        <v>6828</v>
      </c>
      <c r="K8" s="224">
        <v>3.6</v>
      </c>
    </row>
    <row r="9" spans="1:11" s="45" customFormat="1" ht="14.25" x14ac:dyDescent="0.2">
      <c r="A9" s="89" t="s">
        <v>287</v>
      </c>
      <c r="B9" s="195">
        <v>75069</v>
      </c>
      <c r="C9" s="224">
        <v>37.1</v>
      </c>
      <c r="D9" s="195">
        <v>61926</v>
      </c>
      <c r="E9" s="224">
        <v>34.5</v>
      </c>
      <c r="F9" s="195">
        <v>69956</v>
      </c>
      <c r="G9" s="224">
        <v>36.5</v>
      </c>
      <c r="H9" s="195">
        <v>73019</v>
      </c>
      <c r="I9" s="224">
        <v>37.6</v>
      </c>
      <c r="J9" s="195">
        <v>69360</v>
      </c>
      <c r="K9" s="224">
        <v>36.9</v>
      </c>
    </row>
    <row r="10" spans="1:11" s="45" customFormat="1" ht="15" customHeight="1" x14ac:dyDescent="0.2">
      <c r="A10" s="90" t="s">
        <v>233</v>
      </c>
      <c r="B10" s="196">
        <v>81414</v>
      </c>
      <c r="C10" s="225">
        <v>40.299999999999997</v>
      </c>
      <c r="D10" s="196">
        <v>68721</v>
      </c>
      <c r="E10" s="225">
        <v>38.299999999999997</v>
      </c>
      <c r="F10" s="196">
        <v>76078</v>
      </c>
      <c r="G10" s="225">
        <v>39.700000000000003</v>
      </c>
      <c r="H10" s="196">
        <v>79717</v>
      </c>
      <c r="I10" s="225">
        <v>41</v>
      </c>
      <c r="J10" s="196">
        <v>76188</v>
      </c>
      <c r="K10" s="225">
        <v>40.6</v>
      </c>
    </row>
    <row r="11" spans="1:11" s="45" customFormat="1" ht="12.75" customHeight="1" x14ac:dyDescent="0.2">
      <c r="A11" s="90"/>
      <c r="B11" s="195"/>
      <c r="C11" s="224"/>
      <c r="D11" s="195"/>
      <c r="E11" s="224"/>
      <c r="F11" s="195"/>
      <c r="G11" s="224"/>
      <c r="H11" s="195"/>
      <c r="I11" s="224"/>
      <c r="J11" s="195"/>
      <c r="K11" s="224"/>
    </row>
    <row r="12" spans="1:11" s="45" customFormat="1" ht="15" customHeight="1" x14ac:dyDescent="0.2">
      <c r="A12" s="90" t="s">
        <v>291</v>
      </c>
      <c r="B12" s="195"/>
      <c r="C12" s="224"/>
      <c r="D12" s="195"/>
      <c r="E12" s="224"/>
      <c r="F12" s="195"/>
      <c r="G12" s="224"/>
      <c r="H12" s="195"/>
      <c r="I12" s="224"/>
      <c r="J12" s="195"/>
      <c r="K12" s="224"/>
    </row>
    <row r="13" spans="1:11" s="45" customFormat="1" ht="15" customHeight="1" x14ac:dyDescent="0.2">
      <c r="A13" s="89" t="s">
        <v>286</v>
      </c>
      <c r="B13" s="195">
        <v>211</v>
      </c>
      <c r="C13" s="224">
        <v>0.1</v>
      </c>
      <c r="D13" s="195">
        <v>134</v>
      </c>
      <c r="E13" s="224">
        <f>SUM((D13/$B$29)*100)</f>
        <v>6.6248084243832508E-2</v>
      </c>
      <c r="F13" s="195">
        <v>0</v>
      </c>
      <c r="G13" s="224">
        <v>0</v>
      </c>
      <c r="H13" s="195">
        <v>0</v>
      </c>
      <c r="I13" s="224">
        <v>0</v>
      </c>
      <c r="J13" s="195">
        <v>0</v>
      </c>
      <c r="K13" s="224">
        <v>0</v>
      </c>
    </row>
    <row r="14" spans="1:11" s="45" customFormat="1" ht="15" customHeight="1" x14ac:dyDescent="0.2">
      <c r="A14" s="89" t="s">
        <v>287</v>
      </c>
      <c r="B14" s="195">
        <v>0</v>
      </c>
      <c r="C14" s="224">
        <v>0</v>
      </c>
      <c r="D14" s="195">
        <v>0</v>
      </c>
      <c r="E14" s="224">
        <f>SUM((D14/$B$29)*100)</f>
        <v>0</v>
      </c>
      <c r="F14" s="195">
        <v>0</v>
      </c>
      <c r="G14" s="224">
        <v>0</v>
      </c>
      <c r="H14" s="195">
        <v>0</v>
      </c>
      <c r="I14" s="224">
        <v>0</v>
      </c>
      <c r="J14" s="195">
        <v>0</v>
      </c>
      <c r="K14" s="224">
        <v>0</v>
      </c>
    </row>
    <row r="15" spans="1:11" s="45" customFormat="1" ht="15" customHeight="1" x14ac:dyDescent="0.2">
      <c r="A15" s="90" t="s">
        <v>236</v>
      </c>
      <c r="B15" s="196">
        <f>SUM(B13:B14)</f>
        <v>211</v>
      </c>
      <c r="C15" s="225">
        <v>0.1</v>
      </c>
      <c r="D15" s="196">
        <f>SUM(D13:D14)</f>
        <v>134</v>
      </c>
      <c r="E15" s="225">
        <f>SUM((D15/$B$29)*100)</f>
        <v>6.6248084243832508E-2</v>
      </c>
      <c r="F15" s="196">
        <v>0</v>
      </c>
      <c r="G15" s="225">
        <v>0</v>
      </c>
      <c r="H15" s="196">
        <v>0</v>
      </c>
      <c r="I15" s="225">
        <v>0</v>
      </c>
      <c r="J15" s="196">
        <v>0</v>
      </c>
      <c r="K15" s="225">
        <v>0</v>
      </c>
    </row>
    <row r="16" spans="1:11" s="45" customFormat="1" x14ac:dyDescent="0.2">
      <c r="A16" s="91"/>
      <c r="B16" s="195"/>
      <c r="C16" s="224"/>
      <c r="D16" s="195"/>
      <c r="E16" s="224"/>
      <c r="F16" s="195"/>
      <c r="G16" s="224"/>
      <c r="H16" s="195"/>
      <c r="I16" s="224"/>
      <c r="J16" s="195"/>
      <c r="K16" s="224"/>
    </row>
    <row r="17" spans="1:11" s="45" customFormat="1" ht="15" customHeight="1" x14ac:dyDescent="0.2">
      <c r="A17" s="88" t="s">
        <v>245</v>
      </c>
      <c r="B17" s="195"/>
      <c r="C17" s="224"/>
      <c r="D17" s="195"/>
      <c r="E17" s="224"/>
      <c r="F17" s="195"/>
      <c r="G17" s="224"/>
      <c r="H17" s="195"/>
      <c r="I17" s="224"/>
      <c r="J17" s="195"/>
      <c r="K17" s="224"/>
    </row>
    <row r="18" spans="1:11" s="45" customFormat="1" ht="14.25" x14ac:dyDescent="0.2">
      <c r="A18" s="89" t="s">
        <v>288</v>
      </c>
      <c r="B18" s="195">
        <v>0</v>
      </c>
      <c r="C18" s="224">
        <v>0</v>
      </c>
      <c r="D18" s="195">
        <v>0</v>
      </c>
      <c r="E18" s="224">
        <f>SUM((D18/$B$29)*100)</f>
        <v>0</v>
      </c>
      <c r="F18" s="195">
        <v>0</v>
      </c>
      <c r="G18" s="224">
        <v>0</v>
      </c>
      <c r="H18" s="195">
        <v>0</v>
      </c>
      <c r="I18" s="224">
        <v>0</v>
      </c>
      <c r="J18" s="195">
        <v>0</v>
      </c>
      <c r="K18" s="224">
        <v>0</v>
      </c>
    </row>
    <row r="19" spans="1:11" s="45" customFormat="1" x14ac:dyDescent="0.2">
      <c r="A19" s="90" t="s">
        <v>234</v>
      </c>
      <c r="B19" s="196">
        <v>0</v>
      </c>
      <c r="C19" s="224">
        <v>0</v>
      </c>
      <c r="D19" s="196">
        <v>0</v>
      </c>
      <c r="E19" s="224">
        <f>SUM((D19/$B$29)*100)</f>
        <v>0</v>
      </c>
      <c r="F19" s="196">
        <v>0</v>
      </c>
      <c r="G19" s="224">
        <v>0</v>
      </c>
      <c r="H19" s="196">
        <v>0</v>
      </c>
      <c r="I19" s="224">
        <v>0</v>
      </c>
      <c r="J19" s="196">
        <v>0</v>
      </c>
      <c r="K19" s="224">
        <v>0</v>
      </c>
    </row>
    <row r="20" spans="1:11" s="45" customFormat="1" x14ac:dyDescent="0.2">
      <c r="A20" s="90"/>
      <c r="B20" s="196"/>
      <c r="C20" s="224"/>
      <c r="D20" s="196"/>
      <c r="E20" s="224"/>
      <c r="F20" s="196"/>
      <c r="G20" s="224"/>
      <c r="H20" s="196"/>
      <c r="I20" s="224"/>
      <c r="J20" s="196"/>
      <c r="K20" s="224"/>
    </row>
    <row r="21" spans="1:11" s="45" customFormat="1" x14ac:dyDescent="0.2">
      <c r="A21" s="90" t="s">
        <v>209</v>
      </c>
      <c r="B21" s="196">
        <v>81624</v>
      </c>
      <c r="C21" s="225">
        <v>40.4</v>
      </c>
      <c r="D21" s="196">
        <v>68854</v>
      </c>
      <c r="E21" s="225">
        <v>38.299999999999997</v>
      </c>
      <c r="F21" s="196">
        <v>76078</v>
      </c>
      <c r="G21" s="225">
        <v>39.700000000000003</v>
      </c>
      <c r="H21" s="196">
        <v>79717</v>
      </c>
      <c r="I21" s="225">
        <v>41</v>
      </c>
      <c r="J21" s="196">
        <v>76188</v>
      </c>
      <c r="K21" s="225">
        <v>40.6</v>
      </c>
    </row>
    <row r="22" spans="1:11" s="45" customFormat="1" x14ac:dyDescent="0.2">
      <c r="A22" s="90"/>
      <c r="B22" s="196"/>
      <c r="C22" s="224"/>
      <c r="D22" s="196"/>
      <c r="E22" s="224"/>
      <c r="F22" s="196"/>
      <c r="G22" s="224"/>
      <c r="H22" s="196"/>
      <c r="I22" s="224"/>
      <c r="J22" s="196"/>
      <c r="K22" s="224"/>
    </row>
    <row r="23" spans="1:11" s="45" customFormat="1" x14ac:dyDescent="0.2">
      <c r="A23" s="90" t="s">
        <v>211</v>
      </c>
      <c r="B23" s="195"/>
      <c r="C23" s="224"/>
      <c r="D23" s="195"/>
      <c r="E23" s="224"/>
      <c r="F23" s="195"/>
      <c r="G23" s="224"/>
      <c r="H23" s="195"/>
      <c r="I23" s="224"/>
      <c r="J23" s="195"/>
      <c r="K23" s="224"/>
    </row>
    <row r="24" spans="1:11" s="45" customFormat="1" x14ac:dyDescent="0.2">
      <c r="A24" s="90"/>
      <c r="B24" s="195"/>
      <c r="C24" s="224"/>
      <c r="D24" s="195"/>
      <c r="E24" s="224"/>
      <c r="F24" s="195"/>
      <c r="G24" s="224"/>
      <c r="H24" s="195"/>
      <c r="I24" s="224"/>
      <c r="J24" s="195"/>
      <c r="K24" s="224"/>
    </row>
    <row r="25" spans="1:11" s="45" customFormat="1" ht="15" customHeight="1" x14ac:dyDescent="0.2">
      <c r="A25" s="89" t="s">
        <v>289</v>
      </c>
      <c r="B25" s="195">
        <v>113652</v>
      </c>
      <c r="C25" s="224">
        <v>56.2</v>
      </c>
      <c r="D25" s="195">
        <v>102345</v>
      </c>
      <c r="E25" s="224">
        <v>57</v>
      </c>
      <c r="F25" s="195">
        <v>108811</v>
      </c>
      <c r="G25" s="224">
        <v>56.7</v>
      </c>
      <c r="H25" s="195">
        <v>109289</v>
      </c>
      <c r="I25" s="224">
        <v>56.2</v>
      </c>
      <c r="J25" s="195">
        <v>105846</v>
      </c>
      <c r="K25" s="224">
        <v>56.4</v>
      </c>
    </row>
    <row r="26" spans="1:11" s="45" customFormat="1" ht="15" customHeight="1" x14ac:dyDescent="0.2">
      <c r="A26" s="89" t="s">
        <v>290</v>
      </c>
      <c r="B26" s="195">
        <v>6995</v>
      </c>
      <c r="C26" s="224">
        <v>3.5</v>
      </c>
      <c r="D26" s="195">
        <v>8370</v>
      </c>
      <c r="E26" s="224">
        <v>4.7</v>
      </c>
      <c r="F26" s="195">
        <v>6910</v>
      </c>
      <c r="G26" s="224">
        <v>3.6</v>
      </c>
      <c r="H26" s="195">
        <v>5345</v>
      </c>
      <c r="I26" s="224">
        <v>2.8</v>
      </c>
      <c r="J26" s="195">
        <v>5745</v>
      </c>
      <c r="K26" s="224">
        <v>3.1</v>
      </c>
    </row>
    <row r="27" spans="1:11" s="45" customFormat="1" ht="15" customHeight="1" x14ac:dyDescent="0.2">
      <c r="A27" s="90" t="s">
        <v>210</v>
      </c>
      <c r="B27" s="196">
        <v>120646</v>
      </c>
      <c r="C27" s="225">
        <v>59.6</v>
      </c>
      <c r="D27" s="196">
        <v>110715</v>
      </c>
      <c r="E27" s="225">
        <v>61.7</v>
      </c>
      <c r="F27" s="196">
        <v>115722</v>
      </c>
      <c r="G27" s="225">
        <v>60.3</v>
      </c>
      <c r="H27" s="196">
        <v>114634</v>
      </c>
      <c r="I27" s="225">
        <v>59</v>
      </c>
      <c r="J27" s="196">
        <v>111591</v>
      </c>
      <c r="K27" s="225">
        <v>59.4</v>
      </c>
    </row>
    <row r="28" spans="1:11" s="45" customFormat="1" x14ac:dyDescent="0.2">
      <c r="A28" s="92"/>
      <c r="B28" s="195"/>
      <c r="C28" s="224"/>
      <c r="D28" s="195"/>
      <c r="E28" s="224"/>
      <c r="F28" s="195"/>
      <c r="G28" s="224"/>
      <c r="H28" s="195"/>
      <c r="I28" s="224"/>
      <c r="J28" s="195"/>
      <c r="K28" s="224"/>
    </row>
    <row r="29" spans="1:11" s="45" customFormat="1" ht="15.75" thickBot="1" x14ac:dyDescent="0.3">
      <c r="A29" s="182" t="s">
        <v>246</v>
      </c>
      <c r="B29" s="203">
        <v>202270</v>
      </c>
      <c r="C29" s="204">
        <v>100</v>
      </c>
      <c r="D29" s="203">
        <v>179569</v>
      </c>
      <c r="E29" s="204">
        <v>100</v>
      </c>
      <c r="F29" s="203">
        <v>191800</v>
      </c>
      <c r="G29" s="204">
        <v>100</v>
      </c>
      <c r="H29" s="203">
        <v>194351</v>
      </c>
      <c r="I29" s="204">
        <v>100</v>
      </c>
      <c r="J29" s="203">
        <v>187779</v>
      </c>
      <c r="K29" s="204">
        <v>100</v>
      </c>
    </row>
    <row r="30" spans="1:11" s="45" customFormat="1" x14ac:dyDescent="0.2">
      <c r="A30" s="93"/>
      <c r="B30" s="262"/>
      <c r="G30" s="191"/>
      <c r="I30" s="191"/>
      <c r="K30" s="191" t="s">
        <v>265</v>
      </c>
    </row>
    <row r="31" spans="1:11" s="45" customFormat="1" ht="9" customHeight="1" x14ac:dyDescent="0.2">
      <c r="A31" s="93"/>
    </row>
    <row r="32" spans="1:11" s="147" customFormat="1" x14ac:dyDescent="0.2">
      <c r="A32" s="146" t="s">
        <v>279</v>
      </c>
    </row>
    <row r="33" spans="1:1" s="147" customFormat="1" x14ac:dyDescent="0.2">
      <c r="A33" s="148" t="s">
        <v>280</v>
      </c>
    </row>
    <row r="34" spans="1:1" s="147" customFormat="1" x14ac:dyDescent="0.2">
      <c r="A34" s="149" t="s">
        <v>281</v>
      </c>
    </row>
    <row r="35" spans="1:1" s="147" customFormat="1" x14ac:dyDescent="0.2">
      <c r="A35" s="149" t="s">
        <v>282</v>
      </c>
    </row>
    <row r="36" spans="1:1" s="147" customFormat="1" x14ac:dyDescent="0.2">
      <c r="A36" s="151" t="s">
        <v>283</v>
      </c>
    </row>
    <row r="37" spans="1:1" s="147" customFormat="1" x14ac:dyDescent="0.2">
      <c r="A37" s="150" t="s">
        <v>284</v>
      </c>
    </row>
    <row r="38" spans="1:1" x14ac:dyDescent="0.2">
      <c r="A38" s="89" t="s">
        <v>259</v>
      </c>
    </row>
    <row r="39" spans="1:1" x14ac:dyDescent="0.2">
      <c r="A39" s="149"/>
    </row>
    <row r="40" spans="1:1" x14ac:dyDescent="0.2">
      <c r="A40" s="149"/>
    </row>
  </sheetData>
  <mergeCells count="5">
    <mergeCell ref="B3:C3"/>
    <mergeCell ref="J3:K3"/>
    <mergeCell ref="H3:I3"/>
    <mergeCell ref="F3:G3"/>
    <mergeCell ref="D3:E3"/>
  </mergeCells>
  <phoneticPr fontId="0" type="noConversion"/>
  <pageMargins left="0.75" right="0.75" top="1" bottom="1" header="0.5" footer="0.5"/>
  <pageSetup paperSize="9" scale="75"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Views>
    <sheetView showGridLines="0" topLeftCell="A24" workbookViewId="0">
      <selection activeCell="A49" sqref="A49"/>
    </sheetView>
  </sheetViews>
  <sheetFormatPr defaultRowHeight="12.75" x14ac:dyDescent="0.2"/>
  <cols>
    <col min="1" max="1" width="36.7109375" style="21" customWidth="1"/>
    <col min="2" max="6" width="12.7109375" style="21" customWidth="1"/>
    <col min="7" max="16384" width="9.140625" style="21"/>
  </cols>
  <sheetData>
    <row r="1" spans="1:6" s="133" customFormat="1" ht="15" customHeight="1" thickTop="1" x14ac:dyDescent="0.25">
      <c r="A1" s="137" t="s">
        <v>404</v>
      </c>
    </row>
    <row r="2" spans="1:6" ht="12.75" customHeight="1" thickBot="1" x14ac:dyDescent="0.3">
      <c r="A2" s="52" t="s">
        <v>192</v>
      </c>
    </row>
    <row r="3" spans="1:6" s="45" customFormat="1" x14ac:dyDescent="0.2">
      <c r="A3" s="94"/>
      <c r="B3" s="266" t="s">
        <v>398</v>
      </c>
      <c r="C3" s="266" t="s">
        <v>276</v>
      </c>
      <c r="D3" s="266" t="s">
        <v>278</v>
      </c>
      <c r="E3" s="266" t="s">
        <v>320</v>
      </c>
      <c r="F3" s="266" t="s">
        <v>388</v>
      </c>
    </row>
    <row r="4" spans="1:6" s="45" customFormat="1" x14ac:dyDescent="0.2">
      <c r="A4" s="95" t="s">
        <v>267</v>
      </c>
      <c r="B4" s="261">
        <v>158574</v>
      </c>
      <c r="C4" s="261">
        <v>136706</v>
      </c>
      <c r="D4" s="261">
        <v>177568</v>
      </c>
      <c r="E4" s="261">
        <v>173737</v>
      </c>
      <c r="F4" s="261">
        <v>176075</v>
      </c>
    </row>
    <row r="5" spans="1:6" s="45" customFormat="1" x14ac:dyDescent="0.2">
      <c r="A5" s="96" t="s">
        <v>193</v>
      </c>
      <c r="B5" s="261">
        <v>33842</v>
      </c>
      <c r="C5" s="261">
        <v>33286</v>
      </c>
      <c r="D5" s="261">
        <v>32683</v>
      </c>
      <c r="E5" s="261">
        <v>35254</v>
      </c>
      <c r="F5" s="261">
        <v>37713</v>
      </c>
    </row>
    <row r="6" spans="1:6" s="45" customFormat="1" ht="17.25" customHeight="1" thickBot="1" x14ac:dyDescent="0.25">
      <c r="A6" s="97" t="s">
        <v>260</v>
      </c>
      <c r="B6" s="298">
        <v>21</v>
      </c>
      <c r="C6" s="298">
        <v>21</v>
      </c>
      <c r="D6" s="298">
        <v>21</v>
      </c>
      <c r="E6" s="298">
        <v>20.888978247252872</v>
      </c>
      <c r="F6" s="298">
        <v>20.92138668786874</v>
      </c>
    </row>
    <row r="7" spans="1:6" s="45" customFormat="1" ht="15.75" customHeight="1" x14ac:dyDescent="0.2">
      <c r="A7" s="98"/>
      <c r="B7" s="191"/>
      <c r="C7" s="191"/>
      <c r="D7" s="191"/>
      <c r="E7" s="191"/>
      <c r="F7" s="191" t="s">
        <v>207</v>
      </c>
    </row>
    <row r="8" spans="1:6" s="45" customFormat="1" x14ac:dyDescent="0.2">
      <c r="A8" s="98" t="s">
        <v>261</v>
      </c>
    </row>
    <row r="9" spans="1:6" s="45" customFormat="1" x14ac:dyDescent="0.2">
      <c r="A9" s="98" t="s">
        <v>408</v>
      </c>
    </row>
    <row r="10" spans="1:6" s="45" customFormat="1" x14ac:dyDescent="0.2">
      <c r="A10" s="98" t="s">
        <v>266</v>
      </c>
    </row>
    <row r="11" spans="1:6" s="45" customFormat="1" x14ac:dyDescent="0.2">
      <c r="A11" s="98" t="s">
        <v>402</v>
      </c>
    </row>
    <row r="12" spans="1:6" s="45" customFormat="1" x14ac:dyDescent="0.2">
      <c r="A12" s="98"/>
    </row>
    <row r="13" spans="1:6" s="133" customFormat="1" ht="15" x14ac:dyDescent="0.25">
      <c r="A13" s="138" t="s">
        <v>405</v>
      </c>
    </row>
    <row r="14" spans="1:6" s="45" customFormat="1" ht="12.75" customHeight="1" thickBot="1" x14ac:dyDescent="0.25">
      <c r="A14" s="100" t="s">
        <v>194</v>
      </c>
    </row>
    <row r="15" spans="1:6" s="45" customFormat="1" x14ac:dyDescent="0.2">
      <c r="A15" s="94"/>
      <c r="B15" s="266" t="s">
        <v>268</v>
      </c>
      <c r="C15" s="266" t="s">
        <v>276</v>
      </c>
      <c r="D15" s="266" t="s">
        <v>278</v>
      </c>
      <c r="E15" s="266" t="s">
        <v>320</v>
      </c>
      <c r="F15" s="266" t="s">
        <v>388</v>
      </c>
    </row>
    <row r="16" spans="1:6" s="45" customFormat="1" x14ac:dyDescent="0.2">
      <c r="A16" s="95" t="s">
        <v>267</v>
      </c>
      <c r="B16" s="261">
        <v>5663</v>
      </c>
      <c r="C16" s="261">
        <v>2025</v>
      </c>
      <c r="D16" s="261">
        <v>3973</v>
      </c>
      <c r="E16" s="261">
        <v>9518</v>
      </c>
      <c r="F16" s="261">
        <v>6128</v>
      </c>
    </row>
    <row r="17" spans="1:6" s="45" customFormat="1" x14ac:dyDescent="0.2">
      <c r="A17" s="96" t="s">
        <v>193</v>
      </c>
      <c r="B17" s="261">
        <v>374</v>
      </c>
      <c r="C17" s="261">
        <v>135</v>
      </c>
      <c r="D17" s="261">
        <v>208</v>
      </c>
      <c r="E17" s="261">
        <v>526</v>
      </c>
      <c r="F17" s="261">
        <v>400</v>
      </c>
    </row>
    <row r="18" spans="1:6" s="45" customFormat="1" ht="17.25" customHeight="1" thickBot="1" x14ac:dyDescent="0.25">
      <c r="A18" s="97" t="s">
        <v>260</v>
      </c>
      <c r="B18" s="298">
        <v>6</v>
      </c>
      <c r="C18" s="298">
        <v>6</v>
      </c>
      <c r="D18" s="298">
        <v>6</v>
      </c>
      <c r="E18" s="298">
        <v>5.869021200245526</v>
      </c>
      <c r="F18" s="298">
        <v>5.8630567362779527</v>
      </c>
    </row>
    <row r="19" spans="1:6" s="45" customFormat="1" ht="15.75" customHeight="1" x14ac:dyDescent="0.2">
      <c r="A19" s="98"/>
      <c r="B19" s="191"/>
      <c r="C19" s="191"/>
      <c r="D19" s="191"/>
      <c r="E19" s="191"/>
      <c r="F19" s="191" t="s">
        <v>207</v>
      </c>
    </row>
    <row r="20" spans="1:6" s="45" customFormat="1" x14ac:dyDescent="0.2">
      <c r="A20" s="98" t="s">
        <v>261</v>
      </c>
    </row>
    <row r="21" spans="1:6" s="45" customFormat="1" x14ac:dyDescent="0.2">
      <c r="A21" s="98" t="s">
        <v>408</v>
      </c>
    </row>
    <row r="22" spans="1:6" s="45" customFormat="1" x14ac:dyDescent="0.2">
      <c r="A22" s="98" t="s">
        <v>266</v>
      </c>
    </row>
    <row r="23" spans="1:6" s="45" customFormat="1" x14ac:dyDescent="0.2">
      <c r="A23" s="98" t="s">
        <v>402</v>
      </c>
    </row>
    <row r="24" spans="1:6" s="45" customFormat="1" x14ac:dyDescent="0.2">
      <c r="A24" s="98"/>
    </row>
    <row r="25" spans="1:6" s="133" customFormat="1" ht="15" x14ac:dyDescent="0.25">
      <c r="A25" s="138" t="s">
        <v>406</v>
      </c>
    </row>
    <row r="26" spans="1:6" s="45" customFormat="1" ht="12.75" customHeight="1" thickBot="1" x14ac:dyDescent="0.25">
      <c r="A26" s="100" t="s">
        <v>189</v>
      </c>
    </row>
    <row r="27" spans="1:6" s="45" customFormat="1" x14ac:dyDescent="0.2">
      <c r="A27" s="94"/>
      <c r="B27" s="266" t="s">
        <v>268</v>
      </c>
      <c r="C27" s="266" t="s">
        <v>276</v>
      </c>
      <c r="D27" s="266" t="s">
        <v>278</v>
      </c>
      <c r="E27" s="266" t="s">
        <v>320</v>
      </c>
      <c r="F27" s="266" t="s">
        <v>388</v>
      </c>
    </row>
    <row r="28" spans="1:6" s="45" customFormat="1" x14ac:dyDescent="0.2">
      <c r="A28" s="95" t="s">
        <v>267</v>
      </c>
      <c r="B28" s="261">
        <v>3852</v>
      </c>
      <c r="C28" s="261">
        <v>4030</v>
      </c>
      <c r="D28" s="261">
        <v>4068</v>
      </c>
      <c r="E28" s="261">
        <v>4071</v>
      </c>
      <c r="F28" s="261">
        <v>3762</v>
      </c>
    </row>
    <row r="29" spans="1:6" s="45" customFormat="1" x14ac:dyDescent="0.2">
      <c r="A29" s="96" t="s">
        <v>193</v>
      </c>
      <c r="B29" s="261">
        <v>1068</v>
      </c>
      <c r="C29" s="261">
        <v>1151</v>
      </c>
      <c r="D29" s="261">
        <v>997</v>
      </c>
      <c r="E29" s="261">
        <v>1039</v>
      </c>
      <c r="F29" s="261">
        <v>1035</v>
      </c>
    </row>
    <row r="30" spans="1:6" s="45" customFormat="1" ht="17.25" customHeight="1" thickBot="1" x14ac:dyDescent="0.25">
      <c r="A30" s="97" t="s">
        <v>260</v>
      </c>
      <c r="B30" s="298">
        <v>27</v>
      </c>
      <c r="C30" s="298">
        <v>27</v>
      </c>
      <c r="D30" s="298">
        <v>27</v>
      </c>
      <c r="E30" s="298">
        <v>26.558891454965355</v>
      </c>
      <c r="F30" s="298">
        <v>26.501788964911178</v>
      </c>
    </row>
    <row r="31" spans="1:6" s="45" customFormat="1" ht="15.75" customHeight="1" x14ac:dyDescent="0.2">
      <c r="A31" s="64"/>
      <c r="B31" s="191"/>
      <c r="C31" s="191"/>
      <c r="D31" s="191"/>
      <c r="E31" s="191"/>
      <c r="F31" s="191" t="s">
        <v>207</v>
      </c>
    </row>
    <row r="32" spans="1:6" s="45" customFormat="1" x14ac:dyDescent="0.2">
      <c r="A32" s="98" t="s">
        <v>261</v>
      </c>
    </row>
    <row r="33" spans="1:6" s="45" customFormat="1" x14ac:dyDescent="0.2">
      <c r="A33" s="98" t="s">
        <v>408</v>
      </c>
    </row>
    <row r="34" spans="1:6" s="45" customFormat="1" x14ac:dyDescent="0.2">
      <c r="A34" s="98" t="s">
        <v>266</v>
      </c>
    </row>
    <row r="35" spans="1:6" s="45" customFormat="1" x14ac:dyDescent="0.2">
      <c r="A35" s="98" t="s">
        <v>402</v>
      </c>
    </row>
    <row r="36" spans="1:6" s="45" customFormat="1" x14ac:dyDescent="0.2">
      <c r="A36" s="98"/>
    </row>
    <row r="37" spans="1:6" s="133" customFormat="1" ht="15" x14ac:dyDescent="0.25">
      <c r="A37" s="138" t="s">
        <v>407</v>
      </c>
    </row>
    <row r="38" spans="1:6" s="45" customFormat="1" ht="12.75" customHeight="1" thickBot="1" x14ac:dyDescent="0.25">
      <c r="A38" s="100" t="s">
        <v>195</v>
      </c>
    </row>
    <row r="39" spans="1:6" s="45" customFormat="1" x14ac:dyDescent="0.2">
      <c r="A39" s="94"/>
      <c r="B39" s="266" t="s">
        <v>268</v>
      </c>
      <c r="C39" s="266" t="s">
        <v>276</v>
      </c>
      <c r="D39" s="266" t="s">
        <v>278</v>
      </c>
      <c r="E39" s="266" t="s">
        <v>320</v>
      </c>
      <c r="F39" s="266" t="s">
        <v>388</v>
      </c>
    </row>
    <row r="40" spans="1:6" s="45" customFormat="1" x14ac:dyDescent="0.2">
      <c r="A40" s="95" t="s">
        <v>267</v>
      </c>
      <c r="B40" s="261">
        <v>25407</v>
      </c>
      <c r="C40" s="261">
        <v>23920</v>
      </c>
      <c r="D40" s="261">
        <v>26395</v>
      </c>
      <c r="E40" s="261">
        <v>27154</v>
      </c>
      <c r="F40" s="261">
        <v>26832</v>
      </c>
    </row>
    <row r="41" spans="1:6" s="45" customFormat="1" ht="13.5" customHeight="1" x14ac:dyDescent="0.2">
      <c r="A41" s="96" t="s">
        <v>193</v>
      </c>
      <c r="B41" s="261">
        <v>6819</v>
      </c>
      <c r="C41" s="261">
        <v>6770</v>
      </c>
      <c r="D41" s="261">
        <v>6496</v>
      </c>
      <c r="E41" s="261">
        <v>7116</v>
      </c>
      <c r="F41" s="261">
        <v>7340</v>
      </c>
    </row>
    <row r="42" spans="1:6" s="45" customFormat="1" ht="17.25" customHeight="1" thickBot="1" x14ac:dyDescent="0.25">
      <c r="A42" s="97" t="s">
        <v>260</v>
      </c>
      <c r="B42" s="298">
        <v>28</v>
      </c>
      <c r="C42" s="298">
        <v>28</v>
      </c>
      <c r="D42" s="298">
        <v>27</v>
      </c>
      <c r="E42" s="298">
        <v>26.440569228974688</v>
      </c>
      <c r="F42" s="298">
        <v>26.578843922877059</v>
      </c>
    </row>
    <row r="43" spans="1:6" s="45" customFormat="1" ht="15.75" customHeight="1" x14ac:dyDescent="0.2">
      <c r="A43" s="64"/>
      <c r="B43" s="191"/>
      <c r="C43" s="191"/>
      <c r="D43" s="191"/>
      <c r="E43" s="191"/>
      <c r="F43" s="191" t="s">
        <v>207</v>
      </c>
    </row>
    <row r="44" spans="1:6" s="45" customFormat="1" x14ac:dyDescent="0.2">
      <c r="A44" s="98" t="s">
        <v>261</v>
      </c>
    </row>
    <row r="45" spans="1:6" s="45" customFormat="1" x14ac:dyDescent="0.2">
      <c r="A45" s="98" t="s">
        <v>408</v>
      </c>
    </row>
    <row r="46" spans="1:6" s="45" customFormat="1" x14ac:dyDescent="0.2">
      <c r="A46" s="98" t="s">
        <v>266</v>
      </c>
    </row>
    <row r="47" spans="1:6" s="45" customFormat="1" x14ac:dyDescent="0.2">
      <c r="A47" s="98" t="s">
        <v>402</v>
      </c>
    </row>
    <row r="48" spans="1:6" s="15" customFormat="1" ht="12.75" customHeight="1" x14ac:dyDescent="0.2">
      <c r="A48" s="26"/>
    </row>
    <row r="49" spans="1:1" ht="12.75" customHeight="1" x14ac:dyDescent="0.2">
      <c r="A49" s="24"/>
    </row>
    <row r="50" spans="1:1" ht="12.75" customHeight="1" x14ac:dyDescent="0.2">
      <c r="A50" s="24"/>
    </row>
    <row r="51" spans="1:1" ht="12.75" customHeight="1" x14ac:dyDescent="0.2">
      <c r="A51" s="24"/>
    </row>
    <row r="52" spans="1:1" ht="12.75" customHeight="1" x14ac:dyDescent="0.2">
      <c r="A52" s="24"/>
    </row>
    <row r="53" spans="1:1" ht="12.75" customHeight="1" x14ac:dyDescent="0.2">
      <c r="A53" s="24"/>
    </row>
    <row r="54" spans="1:1" ht="12.75" customHeight="1" x14ac:dyDescent="0.2">
      <c r="A54" s="24"/>
    </row>
    <row r="55" spans="1:1" ht="12.75" customHeight="1" x14ac:dyDescent="0.2">
      <c r="A55" s="24"/>
    </row>
    <row r="56" spans="1:1" ht="12.75" customHeight="1" x14ac:dyDescent="0.2">
      <c r="A56" s="24"/>
    </row>
    <row r="57" spans="1:1" ht="12.75" customHeight="1" x14ac:dyDescent="0.2">
      <c r="A57" s="24"/>
    </row>
    <row r="58" spans="1:1" ht="12.75" customHeight="1" x14ac:dyDescent="0.2">
      <c r="A58" s="24"/>
    </row>
    <row r="59" spans="1:1" x14ac:dyDescent="0.2">
      <c r="A59" s="23"/>
    </row>
    <row r="60" spans="1:1" x14ac:dyDescent="0.2">
      <c r="A60" s="23"/>
    </row>
    <row r="61" spans="1:1" x14ac:dyDescent="0.2">
      <c r="A61" s="23"/>
    </row>
    <row r="62" spans="1:1" x14ac:dyDescent="0.2">
      <c r="A62" s="23"/>
    </row>
    <row r="63" spans="1:1" x14ac:dyDescent="0.2">
      <c r="A63" s="23"/>
    </row>
    <row r="64" spans="1:1" x14ac:dyDescent="0.2">
      <c r="A64" s="23"/>
    </row>
    <row r="65" spans="1:1" x14ac:dyDescent="0.2">
      <c r="A65" s="23"/>
    </row>
    <row r="66" spans="1:1" x14ac:dyDescent="0.2">
      <c r="A66" s="23"/>
    </row>
    <row r="67" spans="1:1" x14ac:dyDescent="0.2">
      <c r="A67" s="23"/>
    </row>
    <row r="68" spans="1:1" x14ac:dyDescent="0.2">
      <c r="A68" s="23"/>
    </row>
    <row r="69" spans="1:1" x14ac:dyDescent="0.2">
      <c r="A69" s="27"/>
    </row>
    <row r="70" spans="1:1" x14ac:dyDescent="0.2">
      <c r="A70" s="28"/>
    </row>
    <row r="71" spans="1:1" x14ac:dyDescent="0.2">
      <c r="A71" s="15"/>
    </row>
    <row r="72" spans="1:1" x14ac:dyDescent="0.2">
      <c r="A72" s="15"/>
    </row>
    <row r="73" spans="1:1" ht="15.75" x14ac:dyDescent="0.2">
      <c r="A73" s="29"/>
    </row>
    <row r="74" spans="1:1" ht="15.75" x14ac:dyDescent="0.2">
      <c r="A74" s="29"/>
    </row>
    <row r="75" spans="1:1" ht="15.75" x14ac:dyDescent="0.25">
      <c r="A75" s="25"/>
    </row>
    <row r="76" spans="1:1" x14ac:dyDescent="0.2">
      <c r="A76" s="26"/>
    </row>
    <row r="77" spans="1:1" x14ac:dyDescent="0.2">
      <c r="A77" s="26"/>
    </row>
    <row r="78" spans="1:1" x14ac:dyDescent="0.2">
      <c r="A78" s="23"/>
    </row>
    <row r="79" spans="1:1" x14ac:dyDescent="0.2">
      <c r="A79" s="23"/>
    </row>
    <row r="80" spans="1:1" x14ac:dyDescent="0.2">
      <c r="A80" s="23"/>
    </row>
    <row r="81" spans="1:1" x14ac:dyDescent="0.2">
      <c r="A81" s="23"/>
    </row>
    <row r="82" spans="1:1" x14ac:dyDescent="0.2">
      <c r="A82" s="23"/>
    </row>
    <row r="83" spans="1:1" x14ac:dyDescent="0.2">
      <c r="A83" s="23"/>
    </row>
    <row r="84" spans="1:1" x14ac:dyDescent="0.2">
      <c r="A84" s="23"/>
    </row>
    <row r="85" spans="1:1" x14ac:dyDescent="0.2">
      <c r="A85" s="23"/>
    </row>
    <row r="86" spans="1:1" x14ac:dyDescent="0.2">
      <c r="A86" s="23"/>
    </row>
    <row r="87" spans="1:1" x14ac:dyDescent="0.2">
      <c r="A87" s="23"/>
    </row>
    <row r="88" spans="1:1" x14ac:dyDescent="0.2">
      <c r="A88" s="23"/>
    </row>
    <row r="89" spans="1:1" x14ac:dyDescent="0.2">
      <c r="A89" s="27"/>
    </row>
    <row r="90" spans="1:1" x14ac:dyDescent="0.2">
      <c r="A90" s="30"/>
    </row>
    <row r="91" spans="1:1" x14ac:dyDescent="0.2">
      <c r="A91" s="27"/>
    </row>
    <row r="92" spans="1:1" x14ac:dyDescent="0.2">
      <c r="A92" s="27"/>
    </row>
    <row r="93" spans="1:1" x14ac:dyDescent="0.2">
      <c r="A93" s="31"/>
    </row>
    <row r="94" spans="1:1" x14ac:dyDescent="0.2">
      <c r="A94" s="31"/>
    </row>
    <row r="95" spans="1:1" ht="15.75" x14ac:dyDescent="0.25">
      <c r="A95" s="32"/>
    </row>
    <row r="96" spans="1:1" ht="15.75" x14ac:dyDescent="0.2">
      <c r="A96" s="29"/>
    </row>
    <row r="97" spans="1:1" ht="15.75" x14ac:dyDescent="0.25">
      <c r="A97" s="25"/>
    </row>
    <row r="98" spans="1:1" x14ac:dyDescent="0.2">
      <c r="A98" s="26"/>
    </row>
    <row r="99" spans="1:1" x14ac:dyDescent="0.2">
      <c r="A99" s="26"/>
    </row>
    <row r="100" spans="1:1" x14ac:dyDescent="0.2">
      <c r="A100" s="23"/>
    </row>
    <row r="101" spans="1:1" x14ac:dyDescent="0.2">
      <c r="A101" s="23"/>
    </row>
    <row r="102" spans="1:1" x14ac:dyDescent="0.2">
      <c r="A102" s="23"/>
    </row>
    <row r="103" spans="1:1" x14ac:dyDescent="0.2">
      <c r="A103" s="23"/>
    </row>
    <row r="104" spans="1:1" x14ac:dyDescent="0.2">
      <c r="A104" s="23"/>
    </row>
    <row r="105" spans="1:1" x14ac:dyDescent="0.2">
      <c r="A105" s="23"/>
    </row>
    <row r="106" spans="1:1" x14ac:dyDescent="0.2">
      <c r="A106" s="23"/>
    </row>
    <row r="107" spans="1:1" x14ac:dyDescent="0.2">
      <c r="A107" s="23"/>
    </row>
    <row r="108" spans="1:1" x14ac:dyDescent="0.2">
      <c r="A108" s="23"/>
    </row>
    <row r="109" spans="1:1" x14ac:dyDescent="0.2">
      <c r="A109" s="23"/>
    </row>
    <row r="110" spans="1:1" x14ac:dyDescent="0.2">
      <c r="A110" s="23"/>
    </row>
    <row r="111" spans="1:1" x14ac:dyDescent="0.2">
      <c r="A111" s="27"/>
    </row>
    <row r="112" spans="1:1" x14ac:dyDescent="0.2">
      <c r="A112" s="33"/>
    </row>
    <row r="113" spans="1:1" x14ac:dyDescent="0.2">
      <c r="A113" s="15"/>
    </row>
    <row r="114" spans="1:1" x14ac:dyDescent="0.2">
      <c r="A114" s="15"/>
    </row>
    <row r="115" spans="1:1" ht="15.75" x14ac:dyDescent="0.25">
      <c r="A115" s="22"/>
    </row>
    <row r="116" spans="1:1" ht="15.75" x14ac:dyDescent="0.25">
      <c r="A116" s="22"/>
    </row>
    <row r="117" spans="1:1" ht="15.75" x14ac:dyDescent="0.25">
      <c r="A117" s="25"/>
    </row>
    <row r="118" spans="1:1" x14ac:dyDescent="0.2">
      <c r="A118" s="34"/>
    </row>
    <row r="119" spans="1:1" x14ac:dyDescent="0.2">
      <c r="A119" s="34"/>
    </row>
    <row r="120" spans="1:1" x14ac:dyDescent="0.2">
      <c r="A120" s="23"/>
    </row>
    <row r="121" spans="1:1" x14ac:dyDescent="0.2">
      <c r="A121" s="23"/>
    </row>
    <row r="122" spans="1:1" x14ac:dyDescent="0.2">
      <c r="A122" s="24"/>
    </row>
    <row r="123" spans="1:1" x14ac:dyDescent="0.2">
      <c r="A123" s="24"/>
    </row>
    <row r="124" spans="1:1" x14ac:dyDescent="0.2">
      <c r="A124" s="24"/>
    </row>
    <row r="125" spans="1:1" x14ac:dyDescent="0.2">
      <c r="A125" s="24"/>
    </row>
    <row r="126" spans="1:1" x14ac:dyDescent="0.2">
      <c r="A126" s="24"/>
    </row>
    <row r="127" spans="1:1" x14ac:dyDescent="0.2">
      <c r="A127" s="24"/>
    </row>
    <row r="128" spans="1:1" x14ac:dyDescent="0.2">
      <c r="A128" s="24"/>
    </row>
    <row r="129" spans="1:1" x14ac:dyDescent="0.2">
      <c r="A129" s="24"/>
    </row>
    <row r="130" spans="1:1" x14ac:dyDescent="0.2">
      <c r="A130" s="24"/>
    </row>
    <row r="131" spans="1:1" x14ac:dyDescent="0.2">
      <c r="A131" s="24"/>
    </row>
    <row r="132" spans="1:1" x14ac:dyDescent="0.2">
      <c r="A132" s="24"/>
    </row>
    <row r="133" spans="1:1" x14ac:dyDescent="0.2">
      <c r="A133" s="24"/>
    </row>
    <row r="134" spans="1:1" x14ac:dyDescent="0.2">
      <c r="A134" s="24"/>
    </row>
  </sheetData>
  <phoneticPr fontId="0" type="noConversion"/>
  <pageMargins left="0.75" right="0.75" top="1" bottom="1" header="0.5" footer="0.5"/>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3"/>
  <sheetViews>
    <sheetView showGridLines="0" topLeftCell="A95" workbookViewId="0">
      <selection activeCell="N112" sqref="N112"/>
    </sheetView>
  </sheetViews>
  <sheetFormatPr defaultRowHeight="12.75" x14ac:dyDescent="0.2"/>
  <cols>
    <col min="1" max="1" width="16.140625" style="152" customWidth="1"/>
    <col min="2" max="2" width="12.5703125" style="152" customWidth="1"/>
    <col min="3" max="3" width="0.7109375" style="152" customWidth="1"/>
    <col min="4" max="13" width="8.5703125" style="152" customWidth="1"/>
    <col min="14" max="16384" width="9.140625" style="152"/>
  </cols>
  <sheetData>
    <row r="1" spans="1:13" s="227" customFormat="1" ht="15" customHeight="1" thickTop="1" x14ac:dyDescent="0.25">
      <c r="A1" s="128" t="s">
        <v>333</v>
      </c>
      <c r="B1" s="129"/>
      <c r="C1" s="129"/>
    </row>
    <row r="2" spans="1:13" s="226" customFormat="1" ht="12.75" customHeight="1" thickBot="1" x14ac:dyDescent="0.3">
      <c r="A2" s="53"/>
      <c r="B2" s="54"/>
      <c r="C2" s="54"/>
    </row>
    <row r="3" spans="1:13" s="226" customFormat="1" ht="16.5" customHeight="1" x14ac:dyDescent="0.2">
      <c r="A3" s="101"/>
      <c r="B3" s="101"/>
      <c r="C3" s="228"/>
      <c r="D3" s="421" t="s">
        <v>268</v>
      </c>
      <c r="E3" s="423"/>
      <c r="F3" s="421" t="s">
        <v>276</v>
      </c>
      <c r="G3" s="423"/>
      <c r="H3" s="421" t="s">
        <v>278</v>
      </c>
      <c r="I3" s="423"/>
      <c r="J3" s="421" t="s">
        <v>320</v>
      </c>
      <c r="K3" s="423"/>
      <c r="L3" s="421" t="s">
        <v>388</v>
      </c>
      <c r="M3" s="423"/>
    </row>
    <row r="4" spans="1:13" s="226" customFormat="1" ht="15.75" customHeight="1" x14ac:dyDescent="0.2">
      <c r="A4" s="229"/>
      <c r="B4" s="230"/>
      <c r="C4" s="231"/>
      <c r="D4" s="231" t="s">
        <v>171</v>
      </c>
      <c r="E4" s="231"/>
      <c r="F4" s="231" t="s">
        <v>171</v>
      </c>
      <c r="G4" s="231"/>
      <c r="H4" s="231" t="s">
        <v>171</v>
      </c>
      <c r="I4" s="231"/>
      <c r="J4" s="231" t="s">
        <v>171</v>
      </c>
      <c r="K4" s="231"/>
      <c r="L4" s="231" t="s">
        <v>171</v>
      </c>
      <c r="M4" s="231"/>
    </row>
    <row r="5" spans="1:13" s="226" customFormat="1" ht="15" customHeight="1" x14ac:dyDescent="0.2">
      <c r="A5" s="84" t="s">
        <v>197</v>
      </c>
      <c r="B5" s="102" t="s">
        <v>198</v>
      </c>
      <c r="C5" s="232"/>
      <c r="D5" s="233">
        <v>6879</v>
      </c>
      <c r="E5" s="254"/>
      <c r="F5" s="233">
        <v>5770</v>
      </c>
      <c r="G5" s="254"/>
      <c r="H5" s="233">
        <v>6357</v>
      </c>
      <c r="I5" s="254"/>
      <c r="J5" s="233">
        <v>6164</v>
      </c>
      <c r="K5" s="254"/>
      <c r="L5" s="233">
        <v>6230</v>
      </c>
      <c r="M5" s="254"/>
    </row>
    <row r="6" spans="1:13" s="226" customFormat="1" ht="15" customHeight="1" x14ac:dyDescent="0.2">
      <c r="A6" s="117" t="s">
        <v>199</v>
      </c>
      <c r="B6" s="104" t="s">
        <v>200</v>
      </c>
      <c r="C6" s="234"/>
      <c r="D6" s="233">
        <v>8344</v>
      </c>
      <c r="E6" s="255"/>
      <c r="F6" s="233">
        <v>6762</v>
      </c>
      <c r="G6" s="255"/>
      <c r="H6" s="233">
        <v>7528</v>
      </c>
      <c r="I6" s="255"/>
      <c r="J6" s="233">
        <v>8126</v>
      </c>
      <c r="K6" s="255"/>
      <c r="L6" s="233">
        <v>7495</v>
      </c>
      <c r="M6" s="255"/>
    </row>
    <row r="7" spans="1:13" s="226" customFormat="1" ht="15" customHeight="1" x14ac:dyDescent="0.2">
      <c r="A7" s="103"/>
      <c r="B7" s="105" t="s">
        <v>220</v>
      </c>
      <c r="C7" s="234"/>
      <c r="D7" s="235">
        <v>15223</v>
      </c>
      <c r="E7" s="253"/>
      <c r="F7" s="235">
        <v>12532</v>
      </c>
      <c r="G7" s="253"/>
      <c r="H7" s="235">
        <v>13885</v>
      </c>
      <c r="I7" s="253"/>
      <c r="J7" s="235">
        <v>14290</v>
      </c>
      <c r="K7" s="253"/>
      <c r="L7" s="235">
        <v>13725</v>
      </c>
      <c r="M7" s="253"/>
    </row>
    <row r="8" spans="1:13" s="226" customFormat="1" ht="15" customHeight="1" x14ac:dyDescent="0.2">
      <c r="A8" s="103"/>
      <c r="B8" s="104"/>
      <c r="C8" s="234"/>
      <c r="D8" s="233"/>
      <c r="E8" s="255"/>
      <c r="F8" s="233"/>
      <c r="G8" s="255"/>
      <c r="H8" s="233"/>
      <c r="I8" s="255"/>
      <c r="J8" s="233"/>
      <c r="K8" s="255"/>
      <c r="L8" s="233"/>
      <c r="M8" s="255"/>
    </row>
    <row r="9" spans="1:13" s="226" customFormat="1" ht="15" customHeight="1" x14ac:dyDescent="0.2">
      <c r="A9" s="117" t="s">
        <v>197</v>
      </c>
      <c r="B9" s="104" t="s">
        <v>198</v>
      </c>
      <c r="C9" s="234"/>
      <c r="D9" s="233">
        <v>3914</v>
      </c>
      <c r="E9" s="255"/>
      <c r="F9" s="233">
        <v>3220</v>
      </c>
      <c r="G9" s="255"/>
      <c r="H9" s="233">
        <v>3684</v>
      </c>
      <c r="I9" s="255"/>
      <c r="J9" s="233">
        <v>3590</v>
      </c>
      <c r="K9" s="255"/>
      <c r="L9" s="233">
        <v>3619</v>
      </c>
      <c r="M9" s="255"/>
    </row>
    <row r="10" spans="1:13" s="226" customFormat="1" ht="15" customHeight="1" x14ac:dyDescent="0.2">
      <c r="A10" s="117" t="s">
        <v>201</v>
      </c>
      <c r="B10" s="104" t="s">
        <v>200</v>
      </c>
      <c r="C10" s="234"/>
      <c r="D10" s="233">
        <v>3915</v>
      </c>
      <c r="E10" s="255"/>
      <c r="F10" s="233">
        <v>2974</v>
      </c>
      <c r="G10" s="255"/>
      <c r="H10" s="233">
        <v>3481</v>
      </c>
      <c r="I10" s="255"/>
      <c r="J10" s="233">
        <v>3687</v>
      </c>
      <c r="K10" s="255"/>
      <c r="L10" s="233">
        <v>3700</v>
      </c>
      <c r="M10" s="255"/>
    </row>
    <row r="11" spans="1:13" s="226" customFormat="1" ht="15" customHeight="1" x14ac:dyDescent="0.2">
      <c r="A11" s="103"/>
      <c r="B11" s="105" t="s">
        <v>220</v>
      </c>
      <c r="C11" s="234"/>
      <c r="D11" s="235">
        <v>7829</v>
      </c>
      <c r="E11" s="253"/>
      <c r="F11" s="235">
        <v>6194</v>
      </c>
      <c r="G11" s="253"/>
      <c r="H11" s="235">
        <v>7165</v>
      </c>
      <c r="I11" s="253"/>
      <c r="J11" s="235">
        <v>7277</v>
      </c>
      <c r="K11" s="253"/>
      <c r="L11" s="235">
        <v>7319</v>
      </c>
      <c r="M11" s="253"/>
    </row>
    <row r="12" spans="1:13" s="226" customFormat="1" ht="15" customHeight="1" x14ac:dyDescent="0.2">
      <c r="A12" s="103"/>
      <c r="B12" s="104"/>
      <c r="C12" s="237"/>
      <c r="D12" s="238"/>
      <c r="E12" s="238"/>
      <c r="F12" s="238"/>
      <c r="G12" s="238"/>
      <c r="H12" s="238"/>
      <c r="I12" s="238"/>
      <c r="J12" s="238"/>
      <c r="K12" s="238"/>
      <c r="L12" s="238"/>
      <c r="M12" s="238"/>
    </row>
    <row r="13" spans="1:13" s="226" customFormat="1" ht="15" customHeight="1" x14ac:dyDescent="0.2">
      <c r="A13" s="103"/>
      <c r="B13" s="104"/>
      <c r="C13" s="106"/>
      <c r="D13" s="143" t="s">
        <v>171</v>
      </c>
      <c r="E13" s="143" t="s">
        <v>172</v>
      </c>
      <c r="F13" s="143" t="s">
        <v>171</v>
      </c>
      <c r="G13" s="143" t="s">
        <v>172</v>
      </c>
      <c r="H13" s="143" t="s">
        <v>171</v>
      </c>
      <c r="I13" s="143" t="s">
        <v>172</v>
      </c>
      <c r="J13" s="143" t="s">
        <v>171</v>
      </c>
      <c r="K13" s="143" t="s">
        <v>172</v>
      </c>
      <c r="L13" s="143" t="s">
        <v>171</v>
      </c>
      <c r="M13" s="143" t="s">
        <v>172</v>
      </c>
    </row>
    <row r="14" spans="1:13" s="226" customFormat="1" ht="15" customHeight="1" x14ac:dyDescent="0.2">
      <c r="A14" s="117" t="s">
        <v>202</v>
      </c>
      <c r="B14" s="104" t="s">
        <v>198</v>
      </c>
      <c r="C14" s="239"/>
      <c r="D14" s="371">
        <v>57</v>
      </c>
      <c r="E14" s="371">
        <v>50</v>
      </c>
      <c r="F14" s="371">
        <v>57</v>
      </c>
      <c r="G14" s="371">
        <v>50</v>
      </c>
      <c r="H14" s="371">
        <v>57</v>
      </c>
      <c r="I14" s="371">
        <v>50</v>
      </c>
      <c r="J14" s="371">
        <v>57</v>
      </c>
      <c r="K14" s="371">
        <v>51</v>
      </c>
      <c r="L14" s="371">
        <v>58</v>
      </c>
      <c r="M14" s="371">
        <v>51</v>
      </c>
    </row>
    <row r="15" spans="1:13" s="226" customFormat="1" ht="15" customHeight="1" x14ac:dyDescent="0.2">
      <c r="A15" s="117" t="s">
        <v>203</v>
      </c>
      <c r="B15" s="104" t="s">
        <v>200</v>
      </c>
      <c r="C15" s="239"/>
      <c r="D15" s="371">
        <v>47</v>
      </c>
      <c r="E15" s="371">
        <v>43</v>
      </c>
      <c r="F15" s="371">
        <v>46</v>
      </c>
      <c r="G15" s="371">
        <v>43</v>
      </c>
      <c r="H15" s="371">
        <v>46</v>
      </c>
      <c r="I15" s="371">
        <v>43</v>
      </c>
      <c r="J15" s="371">
        <v>46</v>
      </c>
      <c r="K15" s="371">
        <v>44</v>
      </c>
      <c r="L15" s="371">
        <v>46</v>
      </c>
      <c r="M15" s="371">
        <v>44</v>
      </c>
    </row>
    <row r="16" spans="1:13" s="226" customFormat="1" ht="17.25" customHeight="1" thickBot="1" x14ac:dyDescent="0.25">
      <c r="A16" s="118" t="s">
        <v>264</v>
      </c>
      <c r="B16" s="372" t="s">
        <v>220</v>
      </c>
      <c r="C16" s="373"/>
      <c r="D16" s="374">
        <v>51</v>
      </c>
      <c r="E16" s="374">
        <v>46</v>
      </c>
      <c r="F16" s="374">
        <v>51</v>
      </c>
      <c r="G16" s="374">
        <v>46</v>
      </c>
      <c r="H16" s="374">
        <v>51</v>
      </c>
      <c r="I16" s="374">
        <v>46</v>
      </c>
      <c r="J16" s="374">
        <v>51</v>
      </c>
      <c r="K16" s="374">
        <v>47</v>
      </c>
      <c r="L16" s="374">
        <v>51</v>
      </c>
      <c r="M16" s="374">
        <v>47</v>
      </c>
    </row>
    <row r="17" spans="1:13" s="226" customFormat="1" ht="15.75" customHeight="1" x14ac:dyDescent="0.2">
      <c r="A17" s="103"/>
      <c r="B17" s="152"/>
      <c r="C17" s="240"/>
      <c r="K17" s="226" t="s">
        <v>208</v>
      </c>
    </row>
    <row r="18" spans="1:13" s="147" customFormat="1" ht="16.5" customHeight="1" x14ac:dyDescent="0.2">
      <c r="A18" s="98" t="s">
        <v>262</v>
      </c>
      <c r="B18" s="199"/>
      <c r="C18" s="99"/>
    </row>
    <row r="19" spans="1:13" s="147" customFormat="1" x14ac:dyDescent="0.2">
      <c r="A19" s="98" t="s">
        <v>334</v>
      </c>
      <c r="B19" s="199"/>
      <c r="C19" s="99"/>
    </row>
    <row r="20" spans="1:13" ht="12.75" customHeight="1" thickBot="1" x14ac:dyDescent="0.25"/>
    <row r="21" spans="1:13" s="241" customFormat="1" ht="14.25" customHeight="1" thickTop="1" x14ac:dyDescent="0.25">
      <c r="A21" s="128" t="s">
        <v>335</v>
      </c>
      <c r="B21" s="129"/>
      <c r="C21" s="129"/>
    </row>
    <row r="22" spans="1:13" ht="12.75" customHeight="1" thickBot="1" x14ac:dyDescent="0.25">
      <c r="A22" s="108" t="s">
        <v>189</v>
      </c>
      <c r="B22" s="109"/>
      <c r="C22" s="109"/>
    </row>
    <row r="23" spans="1:13" ht="16.5" customHeight="1" x14ac:dyDescent="0.2">
      <c r="A23" s="110"/>
      <c r="B23" s="242"/>
      <c r="C23" s="242"/>
      <c r="D23" s="421" t="s">
        <v>268</v>
      </c>
      <c r="E23" s="423"/>
      <c r="F23" s="421" t="s">
        <v>276</v>
      </c>
      <c r="G23" s="423"/>
      <c r="H23" s="421" t="s">
        <v>278</v>
      </c>
      <c r="I23" s="423"/>
      <c r="J23" s="421" t="s">
        <v>320</v>
      </c>
      <c r="K23" s="423"/>
      <c r="L23" s="421" t="s">
        <v>388</v>
      </c>
      <c r="M23" s="423"/>
    </row>
    <row r="24" spans="1:13" ht="15.75" customHeight="1" x14ac:dyDescent="0.2">
      <c r="A24" s="229"/>
      <c r="B24" s="230"/>
      <c r="C24" s="231"/>
      <c r="D24" s="231" t="s">
        <v>171</v>
      </c>
      <c r="E24" s="231"/>
      <c r="F24" s="231" t="s">
        <v>171</v>
      </c>
      <c r="G24" s="231"/>
      <c r="H24" s="231" t="s">
        <v>171</v>
      </c>
      <c r="I24" s="231"/>
      <c r="J24" s="231" t="s">
        <v>171</v>
      </c>
      <c r="K24" s="231"/>
      <c r="L24" s="231" t="s">
        <v>171</v>
      </c>
      <c r="M24" s="231"/>
    </row>
    <row r="25" spans="1:13" ht="15" customHeight="1" x14ac:dyDescent="0.2">
      <c r="A25" s="84" t="s">
        <v>197</v>
      </c>
      <c r="B25" s="102" t="s">
        <v>198</v>
      </c>
      <c r="C25" s="232"/>
      <c r="D25" s="233">
        <v>6974</v>
      </c>
      <c r="E25" s="254"/>
      <c r="F25" s="233">
        <v>5937</v>
      </c>
      <c r="G25" s="254"/>
      <c r="H25" s="233">
        <v>5700</v>
      </c>
      <c r="I25" s="254"/>
      <c r="J25" s="233">
        <v>6284</v>
      </c>
      <c r="K25" s="254"/>
      <c r="L25" s="233">
        <v>5883</v>
      </c>
      <c r="M25" s="254"/>
    </row>
    <row r="26" spans="1:13" ht="15" customHeight="1" x14ac:dyDescent="0.2">
      <c r="A26" s="117" t="s">
        <v>199</v>
      </c>
      <c r="B26" s="104" t="s">
        <v>200</v>
      </c>
      <c r="C26" s="234"/>
      <c r="D26" s="233">
        <v>6722</v>
      </c>
      <c r="E26" s="255"/>
      <c r="F26" s="233">
        <v>5268</v>
      </c>
      <c r="G26" s="255"/>
      <c r="H26" s="233">
        <v>5138</v>
      </c>
      <c r="I26" s="255"/>
      <c r="J26" s="233">
        <v>5862</v>
      </c>
      <c r="K26" s="255"/>
      <c r="L26" s="233">
        <v>5729</v>
      </c>
      <c r="M26" s="255"/>
    </row>
    <row r="27" spans="1:13" ht="15" customHeight="1" x14ac:dyDescent="0.2">
      <c r="A27" s="117"/>
      <c r="B27" s="105" t="s">
        <v>220</v>
      </c>
      <c r="C27" s="234"/>
      <c r="D27" s="235">
        <v>13696</v>
      </c>
      <c r="E27" s="253"/>
      <c r="F27" s="235">
        <v>11205</v>
      </c>
      <c r="G27" s="253"/>
      <c r="H27" s="235">
        <v>10838</v>
      </c>
      <c r="I27" s="253"/>
      <c r="J27" s="235">
        <v>12146</v>
      </c>
      <c r="K27" s="253"/>
      <c r="L27" s="235">
        <v>11612</v>
      </c>
      <c r="M27" s="253"/>
    </row>
    <row r="28" spans="1:13" ht="15" customHeight="1" x14ac:dyDescent="0.2">
      <c r="A28" s="117"/>
      <c r="B28" s="104"/>
      <c r="C28" s="234"/>
      <c r="D28" s="233"/>
      <c r="E28" s="255"/>
      <c r="F28" s="233"/>
      <c r="G28" s="255"/>
      <c r="H28" s="233"/>
      <c r="I28" s="255"/>
      <c r="J28" s="233"/>
      <c r="K28" s="255"/>
      <c r="L28" s="233"/>
      <c r="M28" s="255"/>
    </row>
    <row r="29" spans="1:13" ht="15" customHeight="1" x14ac:dyDescent="0.2">
      <c r="A29" s="117" t="s">
        <v>197</v>
      </c>
      <c r="B29" s="104" t="s">
        <v>198</v>
      </c>
      <c r="C29" s="234"/>
      <c r="D29" s="233">
        <v>4295</v>
      </c>
      <c r="E29" s="255"/>
      <c r="F29" s="233">
        <v>3567</v>
      </c>
      <c r="G29" s="255"/>
      <c r="H29" s="233">
        <v>3555</v>
      </c>
      <c r="I29" s="255"/>
      <c r="J29" s="233">
        <v>3727</v>
      </c>
      <c r="K29" s="255"/>
      <c r="L29" s="233">
        <v>3559</v>
      </c>
      <c r="M29" s="255"/>
    </row>
    <row r="30" spans="1:13" ht="15" customHeight="1" x14ac:dyDescent="0.2">
      <c r="A30" s="117" t="s">
        <v>201</v>
      </c>
      <c r="B30" s="104" t="s">
        <v>200</v>
      </c>
      <c r="C30" s="234"/>
      <c r="D30" s="233">
        <v>4404</v>
      </c>
      <c r="E30" s="255"/>
      <c r="F30" s="233">
        <v>3423</v>
      </c>
      <c r="G30" s="255"/>
      <c r="H30" s="233">
        <v>3409</v>
      </c>
      <c r="I30" s="255"/>
      <c r="J30" s="233">
        <v>3812</v>
      </c>
      <c r="K30" s="255"/>
      <c r="L30" s="233">
        <v>3740</v>
      </c>
      <c r="M30" s="255"/>
    </row>
    <row r="31" spans="1:13" ht="15" customHeight="1" x14ac:dyDescent="0.2">
      <c r="A31" s="117"/>
      <c r="B31" s="105" t="s">
        <v>220</v>
      </c>
      <c r="C31" s="234"/>
      <c r="D31" s="235">
        <v>8699</v>
      </c>
      <c r="E31" s="253"/>
      <c r="F31" s="235">
        <v>6990</v>
      </c>
      <c r="G31" s="253"/>
      <c r="H31" s="235">
        <v>6964</v>
      </c>
      <c r="I31" s="253"/>
      <c r="J31" s="235">
        <v>7539</v>
      </c>
      <c r="K31" s="253"/>
      <c r="L31" s="235">
        <v>7299</v>
      </c>
      <c r="M31" s="253"/>
    </row>
    <row r="32" spans="1:13" ht="15" customHeight="1" x14ac:dyDescent="0.2">
      <c r="A32" s="117"/>
      <c r="B32" s="104"/>
      <c r="C32" s="243"/>
      <c r="D32" s="238"/>
      <c r="E32" s="238"/>
      <c r="F32" s="238"/>
      <c r="G32" s="238"/>
      <c r="H32" s="238"/>
      <c r="I32" s="238"/>
      <c r="J32" s="238"/>
      <c r="K32" s="238"/>
      <c r="L32" s="238"/>
      <c r="M32" s="238"/>
    </row>
    <row r="33" spans="1:13" ht="15" customHeight="1" x14ac:dyDescent="0.2">
      <c r="A33" s="117"/>
      <c r="B33" s="104"/>
      <c r="C33" s="106"/>
      <c r="D33" s="143" t="s">
        <v>171</v>
      </c>
      <c r="E33" s="143" t="s">
        <v>172</v>
      </c>
      <c r="F33" s="143" t="s">
        <v>171</v>
      </c>
      <c r="G33" s="143" t="s">
        <v>172</v>
      </c>
      <c r="H33" s="143" t="s">
        <v>171</v>
      </c>
      <c r="I33" s="143" t="s">
        <v>172</v>
      </c>
      <c r="J33" s="143" t="s">
        <v>171</v>
      </c>
      <c r="K33" s="143" t="s">
        <v>172</v>
      </c>
      <c r="L33" s="143" t="s">
        <v>171</v>
      </c>
      <c r="M33" s="143" t="s">
        <v>172</v>
      </c>
    </row>
    <row r="34" spans="1:13" ht="15" customHeight="1" x14ac:dyDescent="0.2">
      <c r="A34" s="117" t="s">
        <v>202</v>
      </c>
      <c r="B34" s="104" t="s">
        <v>198</v>
      </c>
      <c r="C34" s="292"/>
      <c r="D34" s="371">
        <v>62</v>
      </c>
      <c r="E34" s="371">
        <v>61</v>
      </c>
      <c r="F34" s="371">
        <v>61</v>
      </c>
      <c r="G34" s="371">
        <v>61</v>
      </c>
      <c r="H34" s="371">
        <v>61</v>
      </c>
      <c r="I34" s="371">
        <v>60</v>
      </c>
      <c r="J34" s="371">
        <v>61</v>
      </c>
      <c r="K34" s="371">
        <v>60</v>
      </c>
      <c r="L34" s="371">
        <v>61</v>
      </c>
      <c r="M34" s="371">
        <v>60</v>
      </c>
    </row>
    <row r="35" spans="1:13" ht="15" customHeight="1" x14ac:dyDescent="0.2">
      <c r="A35" s="117" t="s">
        <v>203</v>
      </c>
      <c r="B35" s="104" t="s">
        <v>200</v>
      </c>
      <c r="C35" s="292"/>
      <c r="D35" s="371">
        <v>66</v>
      </c>
      <c r="E35" s="371">
        <v>67</v>
      </c>
      <c r="F35" s="371">
        <v>66</v>
      </c>
      <c r="G35" s="371">
        <v>66</v>
      </c>
      <c r="H35" s="371">
        <v>66</v>
      </c>
      <c r="I35" s="371">
        <v>66</v>
      </c>
      <c r="J35" s="371">
        <v>65</v>
      </c>
      <c r="K35" s="371">
        <v>66</v>
      </c>
      <c r="L35" s="371">
        <v>65</v>
      </c>
      <c r="M35" s="371">
        <v>66</v>
      </c>
    </row>
    <row r="36" spans="1:13" ht="17.25" customHeight="1" thickBot="1" x14ac:dyDescent="0.25">
      <c r="A36" s="118" t="s">
        <v>264</v>
      </c>
      <c r="B36" s="372" t="s">
        <v>220</v>
      </c>
      <c r="C36" s="375"/>
      <c r="D36" s="374">
        <v>64</v>
      </c>
      <c r="E36" s="374">
        <v>64</v>
      </c>
      <c r="F36" s="374">
        <v>63</v>
      </c>
      <c r="G36" s="374">
        <v>63</v>
      </c>
      <c r="H36" s="374">
        <v>63</v>
      </c>
      <c r="I36" s="374">
        <v>63</v>
      </c>
      <c r="J36" s="374">
        <v>63</v>
      </c>
      <c r="K36" s="374">
        <v>63</v>
      </c>
      <c r="L36" s="374">
        <v>63</v>
      </c>
      <c r="M36" s="374">
        <v>63</v>
      </c>
    </row>
    <row r="37" spans="1:13" ht="15.75" customHeight="1" x14ac:dyDescent="0.2">
      <c r="A37" s="103"/>
      <c r="B37" s="226"/>
      <c r="C37" s="240"/>
      <c r="K37" s="152" t="s">
        <v>208</v>
      </c>
    </row>
    <row r="38" spans="1:13" s="147" customFormat="1" ht="16.5" customHeight="1" x14ac:dyDescent="0.2">
      <c r="A38" s="98" t="s">
        <v>262</v>
      </c>
      <c r="B38" s="199"/>
      <c r="C38" s="99"/>
    </row>
    <row r="39" spans="1:13" s="147" customFormat="1" x14ac:dyDescent="0.2">
      <c r="A39" s="98" t="s">
        <v>334</v>
      </c>
      <c r="B39" s="199"/>
      <c r="C39" s="99"/>
    </row>
    <row r="40" spans="1:13" ht="12.75" customHeight="1" thickBot="1" x14ac:dyDescent="0.25">
      <c r="A40" s="98"/>
    </row>
    <row r="41" spans="1:13" s="241" customFormat="1" ht="15" customHeight="1" thickTop="1" x14ac:dyDescent="0.25">
      <c r="A41" s="128" t="s">
        <v>336</v>
      </c>
      <c r="B41" s="129"/>
      <c r="C41" s="129"/>
    </row>
    <row r="42" spans="1:13" ht="12.75" customHeight="1" thickBot="1" x14ac:dyDescent="0.25">
      <c r="A42" s="108" t="s">
        <v>189</v>
      </c>
      <c r="B42" s="109"/>
      <c r="C42" s="109"/>
    </row>
    <row r="43" spans="1:13" ht="16.5" customHeight="1" x14ac:dyDescent="0.2">
      <c r="A43" s="110"/>
      <c r="B43" s="242"/>
      <c r="C43" s="242"/>
      <c r="D43" s="421" t="s">
        <v>268</v>
      </c>
      <c r="E43" s="423"/>
      <c r="F43" s="421" t="s">
        <v>276</v>
      </c>
      <c r="G43" s="423"/>
      <c r="H43" s="421" t="s">
        <v>278</v>
      </c>
      <c r="I43" s="423"/>
      <c r="J43" s="421" t="s">
        <v>320</v>
      </c>
      <c r="K43" s="423"/>
      <c r="L43" s="421" t="s">
        <v>388</v>
      </c>
      <c r="M43" s="423"/>
    </row>
    <row r="44" spans="1:13" ht="15.75" customHeight="1" x14ac:dyDescent="0.2">
      <c r="A44" s="229"/>
      <c r="B44" s="230"/>
      <c r="C44" s="231"/>
      <c r="D44" s="231" t="s">
        <v>171</v>
      </c>
      <c r="E44" s="231"/>
      <c r="F44" s="231" t="s">
        <v>171</v>
      </c>
      <c r="G44" s="231"/>
      <c r="H44" s="231" t="s">
        <v>171</v>
      </c>
      <c r="I44" s="231"/>
      <c r="J44" s="231" t="s">
        <v>171</v>
      </c>
      <c r="K44" s="231"/>
      <c r="L44" s="231" t="s">
        <v>171</v>
      </c>
      <c r="M44" s="231"/>
    </row>
    <row r="45" spans="1:13" ht="15" customHeight="1" x14ac:dyDescent="0.2">
      <c r="A45" s="84" t="s">
        <v>197</v>
      </c>
      <c r="B45" s="102" t="s">
        <v>198</v>
      </c>
      <c r="C45" s="244"/>
      <c r="D45" s="233">
        <v>1060</v>
      </c>
      <c r="E45" s="254"/>
      <c r="F45" s="233">
        <v>668</v>
      </c>
      <c r="G45" s="254"/>
      <c r="H45" s="233">
        <v>523</v>
      </c>
      <c r="I45" s="254"/>
      <c r="J45" s="233">
        <v>870</v>
      </c>
      <c r="K45" s="254"/>
      <c r="L45" s="233">
        <v>1173</v>
      </c>
      <c r="M45" s="254"/>
    </row>
    <row r="46" spans="1:13" ht="15" customHeight="1" x14ac:dyDescent="0.2">
      <c r="A46" s="117" t="s">
        <v>199</v>
      </c>
      <c r="B46" s="104" t="s">
        <v>200</v>
      </c>
      <c r="C46" s="244"/>
      <c r="D46" s="233">
        <v>164</v>
      </c>
      <c r="E46" s="255"/>
      <c r="F46" s="233">
        <v>127</v>
      </c>
      <c r="G46" s="255"/>
      <c r="H46" s="233">
        <v>74</v>
      </c>
      <c r="I46" s="255"/>
      <c r="J46" s="233">
        <v>99</v>
      </c>
      <c r="K46" s="255"/>
      <c r="L46" s="233">
        <v>155</v>
      </c>
      <c r="M46" s="255"/>
    </row>
    <row r="47" spans="1:13" ht="15" customHeight="1" x14ac:dyDescent="0.2">
      <c r="A47" s="117"/>
      <c r="B47" s="105" t="s">
        <v>220</v>
      </c>
      <c r="C47" s="244"/>
      <c r="D47" s="235">
        <v>1224</v>
      </c>
      <c r="E47" s="253"/>
      <c r="F47" s="235">
        <v>795</v>
      </c>
      <c r="G47" s="253"/>
      <c r="H47" s="235">
        <v>597</v>
      </c>
      <c r="I47" s="253"/>
      <c r="J47" s="235">
        <v>969</v>
      </c>
      <c r="K47" s="253"/>
      <c r="L47" s="235">
        <v>1328</v>
      </c>
      <c r="M47" s="253"/>
    </row>
    <row r="48" spans="1:13" ht="15" customHeight="1" x14ac:dyDescent="0.2">
      <c r="A48" s="117"/>
      <c r="B48" s="104"/>
      <c r="C48" s="244"/>
      <c r="D48" s="233"/>
      <c r="E48" s="255"/>
      <c r="F48" s="233"/>
      <c r="G48" s="255"/>
      <c r="H48" s="233"/>
      <c r="I48" s="255"/>
      <c r="J48" s="233"/>
      <c r="K48" s="255"/>
      <c r="L48" s="233"/>
      <c r="M48" s="255"/>
    </row>
    <row r="49" spans="1:13" ht="15" customHeight="1" x14ac:dyDescent="0.2">
      <c r="A49" s="117" t="s">
        <v>197</v>
      </c>
      <c r="B49" s="104" t="s">
        <v>198</v>
      </c>
      <c r="C49" s="244"/>
      <c r="D49" s="233">
        <v>820</v>
      </c>
      <c r="E49" s="255"/>
      <c r="F49" s="233">
        <v>480</v>
      </c>
      <c r="G49" s="255"/>
      <c r="H49" s="233">
        <v>421</v>
      </c>
      <c r="I49" s="255"/>
      <c r="J49" s="233">
        <v>674</v>
      </c>
      <c r="K49" s="255"/>
      <c r="L49" s="233">
        <v>916</v>
      </c>
      <c r="M49" s="255"/>
    </row>
    <row r="50" spans="1:13" ht="15" customHeight="1" x14ac:dyDescent="0.2">
      <c r="A50" s="117" t="s">
        <v>201</v>
      </c>
      <c r="B50" s="104" t="s">
        <v>200</v>
      </c>
      <c r="C50" s="244"/>
      <c r="D50" s="233">
        <v>106</v>
      </c>
      <c r="E50" s="255"/>
      <c r="F50" s="233">
        <v>75</v>
      </c>
      <c r="G50" s="255"/>
      <c r="H50" s="233">
        <v>55</v>
      </c>
      <c r="I50" s="255"/>
      <c r="J50" s="233">
        <v>62</v>
      </c>
      <c r="K50" s="255"/>
      <c r="L50" s="233">
        <v>113</v>
      </c>
      <c r="M50" s="255"/>
    </row>
    <row r="51" spans="1:13" ht="15" customHeight="1" x14ac:dyDescent="0.2">
      <c r="A51" s="117"/>
      <c r="B51" s="105" t="s">
        <v>220</v>
      </c>
      <c r="C51" s="244"/>
      <c r="D51" s="235">
        <v>926</v>
      </c>
      <c r="E51" s="253"/>
      <c r="F51" s="235">
        <v>555</v>
      </c>
      <c r="G51" s="253"/>
      <c r="H51" s="235">
        <v>476</v>
      </c>
      <c r="I51" s="253"/>
      <c r="J51" s="235">
        <v>736</v>
      </c>
      <c r="K51" s="253"/>
      <c r="L51" s="235">
        <v>1029</v>
      </c>
      <c r="M51" s="253"/>
    </row>
    <row r="52" spans="1:13" ht="15" customHeight="1" x14ac:dyDescent="0.2">
      <c r="A52" s="117"/>
      <c r="B52" s="104"/>
      <c r="C52" s="243"/>
      <c r="D52" s="238"/>
      <c r="E52" s="238"/>
      <c r="F52" s="238"/>
      <c r="G52" s="238"/>
      <c r="H52" s="238"/>
      <c r="I52" s="238"/>
      <c r="J52" s="238"/>
      <c r="K52" s="238"/>
      <c r="L52" s="238"/>
      <c r="M52" s="238"/>
    </row>
    <row r="53" spans="1:13" ht="15" customHeight="1" x14ac:dyDescent="0.2">
      <c r="A53" s="117"/>
      <c r="B53" s="104"/>
      <c r="C53" s="106"/>
      <c r="D53" s="143" t="s">
        <v>171</v>
      </c>
      <c r="E53" s="143" t="s">
        <v>172</v>
      </c>
      <c r="F53" s="143" t="s">
        <v>171</v>
      </c>
      <c r="G53" s="143" t="s">
        <v>172</v>
      </c>
      <c r="H53" s="143" t="s">
        <v>171</v>
      </c>
      <c r="I53" s="143" t="s">
        <v>172</v>
      </c>
      <c r="J53" s="143" t="s">
        <v>171</v>
      </c>
      <c r="K53" s="143" t="s">
        <v>172</v>
      </c>
      <c r="L53" s="143" t="s">
        <v>171</v>
      </c>
      <c r="M53" s="143" t="s">
        <v>172</v>
      </c>
    </row>
    <row r="54" spans="1:13" ht="15" customHeight="1" x14ac:dyDescent="0.2">
      <c r="A54" s="117" t="s">
        <v>202</v>
      </c>
      <c r="B54" s="104" t="s">
        <v>198</v>
      </c>
      <c r="C54" s="239"/>
      <c r="D54" s="371">
        <v>77</v>
      </c>
      <c r="E54" s="371">
        <v>70</v>
      </c>
      <c r="F54" s="371">
        <v>76</v>
      </c>
      <c r="G54" s="371">
        <v>70</v>
      </c>
      <c r="H54" s="371">
        <v>76</v>
      </c>
      <c r="I54" s="371">
        <v>69</v>
      </c>
      <c r="J54" s="371">
        <v>76.738224927907723</v>
      </c>
      <c r="K54" s="371">
        <v>69.191713618543673</v>
      </c>
      <c r="L54" s="371">
        <v>77.025355596784166</v>
      </c>
      <c r="M54" s="371">
        <v>68.914873525807167</v>
      </c>
    </row>
    <row r="55" spans="1:13" ht="15" customHeight="1" x14ac:dyDescent="0.2">
      <c r="A55" s="117" t="s">
        <v>203</v>
      </c>
      <c r="B55" s="104" t="s">
        <v>200</v>
      </c>
      <c r="C55" s="239"/>
      <c r="D55" s="371">
        <v>64</v>
      </c>
      <c r="E55" s="371">
        <v>70</v>
      </c>
      <c r="F55" s="371">
        <v>65</v>
      </c>
      <c r="G55" s="371">
        <v>70</v>
      </c>
      <c r="H55" s="371">
        <v>65</v>
      </c>
      <c r="I55" s="371">
        <v>70</v>
      </c>
      <c r="J55" s="371">
        <v>64.224137931034491</v>
      </c>
      <c r="K55" s="371">
        <v>69.152682825771706</v>
      </c>
      <c r="L55" s="371">
        <v>67.032967032967022</v>
      </c>
      <c r="M55" s="371">
        <v>68.265021886191803</v>
      </c>
    </row>
    <row r="56" spans="1:13" ht="17.25" customHeight="1" thickBot="1" x14ac:dyDescent="0.25">
      <c r="A56" s="118" t="s">
        <v>263</v>
      </c>
      <c r="B56" s="372" t="s">
        <v>220</v>
      </c>
      <c r="C56" s="376"/>
      <c r="D56" s="374">
        <v>75</v>
      </c>
      <c r="E56" s="374">
        <v>70</v>
      </c>
      <c r="F56" s="374">
        <v>74</v>
      </c>
      <c r="G56" s="374">
        <v>70</v>
      </c>
      <c r="H56" s="374">
        <v>75</v>
      </c>
      <c r="I56" s="374">
        <v>69</v>
      </c>
      <c r="J56" s="374">
        <v>75.118549511854951</v>
      </c>
      <c r="K56" s="374">
        <v>69.188055760493924</v>
      </c>
      <c r="L56" s="374">
        <v>75.792897804283001</v>
      </c>
      <c r="M56" s="374">
        <v>68.85527108158908</v>
      </c>
    </row>
    <row r="57" spans="1:13" ht="15.75" customHeight="1" x14ac:dyDescent="0.2">
      <c r="A57" s="103"/>
      <c r="C57" s="240"/>
      <c r="D57" s="282"/>
      <c r="E57" s="282"/>
      <c r="F57" s="282"/>
      <c r="K57" s="282" t="s">
        <v>208</v>
      </c>
    </row>
    <row r="58" spans="1:13" s="147" customFormat="1" ht="16.5" customHeight="1" x14ac:dyDescent="0.2">
      <c r="A58" s="99" t="s">
        <v>337</v>
      </c>
      <c r="B58" s="199"/>
      <c r="C58" s="99"/>
    </row>
    <row r="59" spans="1:13" s="147" customFormat="1" x14ac:dyDescent="0.2">
      <c r="A59" s="99" t="s">
        <v>338</v>
      </c>
      <c r="B59" s="199"/>
      <c r="C59" s="99"/>
    </row>
    <row r="60" spans="1:13" s="147" customFormat="1" x14ac:dyDescent="0.2">
      <c r="A60" s="99" t="s">
        <v>322</v>
      </c>
      <c r="B60" s="199"/>
      <c r="C60" s="99"/>
    </row>
    <row r="61" spans="1:13" s="147" customFormat="1" ht="16.5" customHeight="1" x14ac:dyDescent="0.2">
      <c r="A61" s="98" t="s">
        <v>323</v>
      </c>
      <c r="B61" s="199"/>
      <c r="C61" s="99"/>
    </row>
    <row r="62" spans="1:13" s="147" customFormat="1" x14ac:dyDescent="0.2">
      <c r="A62" s="98" t="s">
        <v>339</v>
      </c>
      <c r="B62" s="199"/>
      <c r="C62" s="99"/>
    </row>
    <row r="63" spans="1:13" ht="12.75" customHeight="1" x14ac:dyDescent="0.2">
      <c r="A63" s="152" t="s">
        <v>340</v>
      </c>
    </row>
    <row r="64" spans="1:13" ht="12.75" customHeight="1" thickBot="1" x14ac:dyDescent="0.25"/>
    <row r="65" spans="1:13" s="227" customFormat="1" ht="15" customHeight="1" thickTop="1" x14ac:dyDescent="0.25">
      <c r="A65" s="128" t="s">
        <v>341</v>
      </c>
      <c r="B65" s="129"/>
      <c r="C65" s="129"/>
    </row>
    <row r="66" spans="1:13" s="226" customFormat="1" ht="12.75" customHeight="1" thickBot="1" x14ac:dyDescent="0.25">
      <c r="A66" s="117"/>
      <c r="B66" s="245"/>
      <c r="C66" s="246"/>
    </row>
    <row r="67" spans="1:13" s="226" customFormat="1" ht="16.5" customHeight="1" x14ac:dyDescent="0.2">
      <c r="A67" s="247"/>
      <c r="B67" s="293"/>
      <c r="D67" s="421" t="s">
        <v>268</v>
      </c>
      <c r="E67" s="422"/>
      <c r="F67" s="421" t="s">
        <v>276</v>
      </c>
      <c r="G67" s="422"/>
      <c r="H67" s="421" t="s">
        <v>278</v>
      </c>
      <c r="I67" s="422"/>
      <c r="J67" s="421" t="s">
        <v>320</v>
      </c>
      <c r="K67" s="422"/>
      <c r="L67" s="421" t="s">
        <v>388</v>
      </c>
      <c r="M67" s="422"/>
    </row>
    <row r="68" spans="1:13" s="226" customFormat="1" ht="15.75" customHeight="1" x14ac:dyDescent="0.2">
      <c r="A68" s="229"/>
      <c r="B68" s="230"/>
      <c r="C68" s="231"/>
      <c r="D68" s="231" t="s">
        <v>171</v>
      </c>
      <c r="E68" s="231"/>
      <c r="F68" s="231" t="s">
        <v>171</v>
      </c>
      <c r="G68" s="231"/>
      <c r="H68" s="231" t="s">
        <v>171</v>
      </c>
      <c r="I68" s="231"/>
      <c r="J68" s="231" t="s">
        <v>171</v>
      </c>
      <c r="K68" s="231"/>
      <c r="L68" s="231" t="s">
        <v>171</v>
      </c>
      <c r="M68" s="231"/>
    </row>
    <row r="69" spans="1:13" s="226" customFormat="1" ht="15" customHeight="1" x14ac:dyDescent="0.2">
      <c r="A69" s="84" t="s">
        <v>197</v>
      </c>
      <c r="B69" s="102" t="s">
        <v>198</v>
      </c>
      <c r="C69" s="232"/>
      <c r="D69" s="233">
        <v>610</v>
      </c>
      <c r="E69" s="294"/>
      <c r="F69" s="233">
        <v>329</v>
      </c>
      <c r="G69" s="294"/>
      <c r="H69" s="233">
        <v>339</v>
      </c>
      <c r="I69" s="294"/>
      <c r="J69" s="233">
        <v>700</v>
      </c>
      <c r="K69" s="294"/>
      <c r="L69" s="233">
        <v>696</v>
      </c>
      <c r="M69" s="294"/>
    </row>
    <row r="70" spans="1:13" s="226" customFormat="1" ht="15" customHeight="1" x14ac:dyDescent="0.2">
      <c r="A70" s="117" t="s">
        <v>199</v>
      </c>
      <c r="B70" s="104" t="s">
        <v>200</v>
      </c>
      <c r="C70" s="234"/>
      <c r="D70" s="233">
        <v>89</v>
      </c>
      <c r="E70" s="295"/>
      <c r="F70" s="233">
        <v>54</v>
      </c>
      <c r="G70" s="295"/>
      <c r="H70" s="233">
        <v>19</v>
      </c>
      <c r="I70" s="295"/>
      <c r="J70" s="233">
        <v>74</v>
      </c>
      <c r="K70" s="295"/>
      <c r="L70" s="233">
        <v>97</v>
      </c>
      <c r="M70" s="295"/>
    </row>
    <row r="71" spans="1:13" s="226" customFormat="1" ht="15" customHeight="1" x14ac:dyDescent="0.2">
      <c r="A71" s="117"/>
      <c r="B71" s="105" t="s">
        <v>220</v>
      </c>
      <c r="C71" s="234"/>
      <c r="D71" s="235">
        <v>699</v>
      </c>
      <c r="E71" s="253"/>
      <c r="F71" s="235">
        <v>383</v>
      </c>
      <c r="G71" s="253"/>
      <c r="H71" s="235">
        <v>358</v>
      </c>
      <c r="I71" s="253"/>
      <c r="J71" s="235">
        <v>774</v>
      </c>
      <c r="K71" s="253"/>
      <c r="L71" s="235">
        <v>793</v>
      </c>
      <c r="M71" s="253"/>
    </row>
    <row r="72" spans="1:13" s="226" customFormat="1" x14ac:dyDescent="0.2">
      <c r="A72" s="117"/>
      <c r="B72" s="104"/>
      <c r="C72" s="234"/>
      <c r="D72" s="233"/>
      <c r="E72" s="296"/>
      <c r="F72" s="233"/>
      <c r="G72" s="296"/>
      <c r="H72" s="233"/>
      <c r="I72" s="296"/>
      <c r="J72" s="233"/>
      <c r="K72" s="296"/>
      <c r="L72" s="233"/>
      <c r="M72" s="296"/>
    </row>
    <row r="73" spans="1:13" s="226" customFormat="1" ht="15" customHeight="1" x14ac:dyDescent="0.2">
      <c r="A73" s="117" t="s">
        <v>197</v>
      </c>
      <c r="B73" s="104" t="s">
        <v>198</v>
      </c>
      <c r="C73" s="234"/>
      <c r="D73" s="233">
        <v>469</v>
      </c>
      <c r="E73" s="295"/>
      <c r="F73" s="233">
        <v>258</v>
      </c>
      <c r="G73" s="295"/>
      <c r="H73" s="233">
        <v>270</v>
      </c>
      <c r="I73" s="295"/>
      <c r="J73" s="233">
        <v>555</v>
      </c>
      <c r="K73" s="295"/>
      <c r="L73" s="233">
        <v>557</v>
      </c>
      <c r="M73" s="295"/>
    </row>
    <row r="74" spans="1:13" s="226" customFormat="1" ht="15" customHeight="1" x14ac:dyDescent="0.2">
      <c r="A74" s="117" t="s">
        <v>201</v>
      </c>
      <c r="B74" s="104" t="s">
        <v>200</v>
      </c>
      <c r="C74" s="234"/>
      <c r="D74" s="233">
        <v>79</v>
      </c>
      <c r="E74" s="295"/>
      <c r="F74" s="233">
        <v>47</v>
      </c>
      <c r="G74" s="295"/>
      <c r="H74" s="233">
        <v>15</v>
      </c>
      <c r="I74" s="295"/>
      <c r="J74" s="233">
        <v>59</v>
      </c>
      <c r="K74" s="295"/>
      <c r="L74" s="233">
        <v>83</v>
      </c>
      <c r="M74" s="295"/>
    </row>
    <row r="75" spans="1:13" s="226" customFormat="1" ht="15" customHeight="1" x14ac:dyDescent="0.2">
      <c r="A75" s="117"/>
      <c r="B75" s="105" t="s">
        <v>220</v>
      </c>
      <c r="C75" s="248"/>
      <c r="D75" s="235">
        <v>548</v>
      </c>
      <c r="E75" s="253"/>
      <c r="F75" s="235">
        <v>305</v>
      </c>
      <c r="G75" s="253"/>
      <c r="H75" s="235">
        <v>285</v>
      </c>
      <c r="I75" s="253"/>
      <c r="J75" s="235">
        <v>614</v>
      </c>
      <c r="K75" s="253"/>
      <c r="L75" s="235">
        <v>640</v>
      </c>
      <c r="M75" s="253"/>
    </row>
    <row r="76" spans="1:13" s="226" customFormat="1" x14ac:dyDescent="0.2">
      <c r="A76" s="117"/>
      <c r="B76" s="104"/>
      <c r="C76" s="243"/>
      <c r="D76" s="234"/>
      <c r="E76" s="238"/>
      <c r="F76" s="234"/>
      <c r="G76" s="238"/>
      <c r="H76" s="234"/>
      <c r="I76" s="238"/>
      <c r="J76" s="234"/>
      <c r="K76" s="238"/>
      <c r="L76" s="234"/>
      <c r="M76" s="238"/>
    </row>
    <row r="77" spans="1:13" s="226" customFormat="1" x14ac:dyDescent="0.2">
      <c r="A77" s="117"/>
      <c r="B77" s="104"/>
      <c r="C77" s="106"/>
      <c r="D77" s="143" t="s">
        <v>171</v>
      </c>
      <c r="E77" s="143" t="s">
        <v>172</v>
      </c>
      <c r="F77" s="143" t="s">
        <v>171</v>
      </c>
      <c r="G77" s="143" t="s">
        <v>172</v>
      </c>
      <c r="H77" s="143" t="s">
        <v>171</v>
      </c>
      <c r="I77" s="143" t="s">
        <v>172</v>
      </c>
      <c r="J77" s="143" t="s">
        <v>171</v>
      </c>
      <c r="K77" s="143" t="s">
        <v>172</v>
      </c>
      <c r="L77" s="143" t="s">
        <v>171</v>
      </c>
      <c r="M77" s="143" t="s">
        <v>172</v>
      </c>
    </row>
    <row r="78" spans="1:13" s="226" customFormat="1" ht="15" customHeight="1" x14ac:dyDescent="0.2">
      <c r="A78" s="117" t="s">
        <v>202</v>
      </c>
      <c r="B78" s="104" t="s">
        <v>198</v>
      </c>
      <c r="C78" s="292"/>
      <c r="D78" s="371">
        <v>79</v>
      </c>
      <c r="E78" s="371">
        <v>81</v>
      </c>
      <c r="F78" s="371">
        <v>78</v>
      </c>
      <c r="G78" s="371">
        <v>81</v>
      </c>
      <c r="H78" s="371">
        <v>79</v>
      </c>
      <c r="I78" s="371">
        <v>81</v>
      </c>
      <c r="J78" s="371">
        <v>78</v>
      </c>
      <c r="K78" s="371">
        <v>81</v>
      </c>
      <c r="L78" s="371">
        <v>79</v>
      </c>
      <c r="M78" s="371">
        <v>81</v>
      </c>
    </row>
    <row r="79" spans="1:13" s="226" customFormat="1" ht="15" customHeight="1" x14ac:dyDescent="0.2">
      <c r="A79" s="117" t="s">
        <v>203</v>
      </c>
      <c r="B79" s="104" t="s">
        <v>200</v>
      </c>
      <c r="C79" s="292"/>
      <c r="D79" s="371">
        <v>87</v>
      </c>
      <c r="E79" s="371">
        <v>86</v>
      </c>
      <c r="F79" s="371">
        <v>87</v>
      </c>
      <c r="G79" s="371">
        <v>85</v>
      </c>
      <c r="H79" s="371">
        <v>87</v>
      </c>
      <c r="I79" s="371">
        <v>85</v>
      </c>
      <c r="J79" s="371">
        <v>85</v>
      </c>
      <c r="K79" s="371">
        <v>85</v>
      </c>
      <c r="L79" s="371">
        <v>84</v>
      </c>
      <c r="M79" s="371">
        <v>84</v>
      </c>
    </row>
    <row r="80" spans="1:13" s="226" customFormat="1" ht="17.25" customHeight="1" thickBot="1" x14ac:dyDescent="0.25">
      <c r="A80" s="118" t="s">
        <v>264</v>
      </c>
      <c r="B80" s="372" t="s">
        <v>220</v>
      </c>
      <c r="C80" s="375"/>
      <c r="D80" s="374">
        <v>80</v>
      </c>
      <c r="E80" s="374">
        <v>81</v>
      </c>
      <c r="F80" s="374">
        <v>79</v>
      </c>
      <c r="G80" s="374">
        <v>81</v>
      </c>
      <c r="H80" s="374">
        <v>79</v>
      </c>
      <c r="I80" s="374">
        <v>81</v>
      </c>
      <c r="J80" s="374">
        <v>79</v>
      </c>
      <c r="K80" s="374">
        <v>81</v>
      </c>
      <c r="L80" s="374">
        <v>80</v>
      </c>
      <c r="M80" s="374">
        <v>81</v>
      </c>
    </row>
    <row r="81" spans="1:13" s="226" customFormat="1" ht="15.75" customHeight="1" x14ac:dyDescent="0.2">
      <c r="C81" s="240"/>
      <c r="E81" s="297"/>
      <c r="K81" s="297" t="s">
        <v>208</v>
      </c>
    </row>
    <row r="82" spans="1:13" s="147" customFormat="1" ht="16.5" customHeight="1" x14ac:dyDescent="0.2">
      <c r="A82" s="98" t="s">
        <v>262</v>
      </c>
      <c r="B82" s="199"/>
      <c r="C82" s="99"/>
    </row>
    <row r="83" spans="1:13" s="147" customFormat="1" x14ac:dyDescent="0.2">
      <c r="A83" s="98" t="s">
        <v>342</v>
      </c>
      <c r="B83" s="199"/>
      <c r="C83" s="99"/>
    </row>
    <row r="84" spans="1:13" ht="12.75" customHeight="1" thickBot="1" x14ac:dyDescent="0.25"/>
    <row r="85" spans="1:13" s="241" customFormat="1" ht="15" customHeight="1" thickTop="1" x14ac:dyDescent="0.25">
      <c r="A85" s="128" t="s">
        <v>343</v>
      </c>
      <c r="B85" s="129"/>
      <c r="C85" s="129"/>
    </row>
    <row r="86" spans="1:13" ht="12.75" customHeight="1" thickBot="1" x14ac:dyDescent="0.25">
      <c r="A86" s="79"/>
      <c r="B86" s="249"/>
      <c r="C86" s="250"/>
    </row>
    <row r="87" spans="1:13" ht="16.5" customHeight="1" x14ac:dyDescent="0.2">
      <c r="A87" s="247"/>
      <c r="B87" s="242"/>
      <c r="C87" s="242"/>
      <c r="D87" s="421" t="s">
        <v>268</v>
      </c>
      <c r="E87" s="423"/>
      <c r="F87" s="421" t="s">
        <v>344</v>
      </c>
      <c r="G87" s="423"/>
      <c r="H87" s="421" t="s">
        <v>278</v>
      </c>
      <c r="I87" s="423"/>
      <c r="J87" s="421" t="s">
        <v>320</v>
      </c>
      <c r="K87" s="423"/>
      <c r="L87" s="421" t="s">
        <v>388</v>
      </c>
      <c r="M87" s="423"/>
    </row>
    <row r="88" spans="1:13" ht="15.75" customHeight="1" x14ac:dyDescent="0.2">
      <c r="A88" s="229"/>
      <c r="B88" s="230"/>
      <c r="C88" s="231"/>
      <c r="D88" s="231" t="s">
        <v>171</v>
      </c>
      <c r="E88" s="231"/>
      <c r="F88" s="231" t="s">
        <v>171</v>
      </c>
      <c r="G88" s="231"/>
      <c r="H88" s="231" t="s">
        <v>171</v>
      </c>
      <c r="I88" s="231"/>
      <c r="J88" s="231" t="s">
        <v>171</v>
      </c>
      <c r="K88" s="231"/>
      <c r="L88" s="231" t="s">
        <v>171</v>
      </c>
      <c r="M88" s="231"/>
    </row>
    <row r="89" spans="1:13" ht="15" customHeight="1" x14ac:dyDescent="0.2">
      <c r="A89" s="84" t="s">
        <v>197</v>
      </c>
      <c r="B89" s="102" t="s">
        <v>198</v>
      </c>
      <c r="D89" s="143">
        <v>943</v>
      </c>
      <c r="E89" s="254"/>
      <c r="F89" s="143">
        <v>897</v>
      </c>
      <c r="G89" s="254"/>
      <c r="H89" s="143">
        <v>829</v>
      </c>
      <c r="I89" s="254"/>
      <c r="J89" s="143">
        <v>915</v>
      </c>
      <c r="K89" s="254"/>
      <c r="L89" s="143">
        <v>1162</v>
      </c>
      <c r="M89" s="254"/>
    </row>
    <row r="90" spans="1:13" ht="15" customHeight="1" x14ac:dyDescent="0.2">
      <c r="A90" s="117" t="s">
        <v>199</v>
      </c>
      <c r="B90" s="104" t="s">
        <v>200</v>
      </c>
      <c r="D90" s="143">
        <v>71</v>
      </c>
      <c r="E90" s="255"/>
      <c r="F90" s="143">
        <v>44</v>
      </c>
      <c r="G90" s="255"/>
      <c r="H90" s="143">
        <v>69</v>
      </c>
      <c r="I90" s="255"/>
      <c r="J90" s="143">
        <v>108</v>
      </c>
      <c r="K90" s="255"/>
      <c r="L90" s="143">
        <v>92</v>
      </c>
      <c r="M90" s="255"/>
    </row>
    <row r="91" spans="1:13" ht="15" customHeight="1" x14ac:dyDescent="0.2">
      <c r="A91" s="117"/>
      <c r="B91" s="105" t="s">
        <v>220</v>
      </c>
      <c r="D91" s="189">
        <v>1014</v>
      </c>
      <c r="E91" s="256"/>
      <c r="F91" s="189">
        <v>941</v>
      </c>
      <c r="G91" s="256"/>
      <c r="H91" s="189">
        <v>898</v>
      </c>
      <c r="I91" s="256"/>
      <c r="J91" s="189">
        <v>1023</v>
      </c>
      <c r="K91" s="256"/>
      <c r="L91" s="189">
        <v>1254</v>
      </c>
      <c r="M91" s="256"/>
    </row>
    <row r="92" spans="1:13" ht="15" customHeight="1" x14ac:dyDescent="0.2">
      <c r="A92" s="117"/>
      <c r="B92" s="104"/>
      <c r="D92" s="143"/>
      <c r="E92" s="255"/>
      <c r="F92" s="143"/>
      <c r="G92" s="255"/>
      <c r="H92" s="143"/>
      <c r="I92" s="255"/>
      <c r="J92" s="143"/>
      <c r="K92" s="255"/>
      <c r="L92" s="143"/>
      <c r="M92" s="255"/>
    </row>
    <row r="93" spans="1:13" ht="15" customHeight="1" x14ac:dyDescent="0.2">
      <c r="A93" s="117" t="s">
        <v>197</v>
      </c>
      <c r="B93" s="104" t="s">
        <v>198</v>
      </c>
      <c r="D93" s="143">
        <v>540</v>
      </c>
      <c r="E93" s="255"/>
      <c r="F93" s="143">
        <v>526</v>
      </c>
      <c r="G93" s="255"/>
      <c r="H93" s="143">
        <v>538</v>
      </c>
      <c r="I93" s="255"/>
      <c r="J93" s="143">
        <v>611</v>
      </c>
      <c r="K93" s="255"/>
      <c r="L93" s="143">
        <v>761</v>
      </c>
      <c r="M93" s="255"/>
    </row>
    <row r="94" spans="1:13" ht="15" customHeight="1" x14ac:dyDescent="0.2">
      <c r="A94" s="117" t="s">
        <v>201</v>
      </c>
      <c r="B94" s="104" t="s">
        <v>200</v>
      </c>
      <c r="D94" s="143">
        <v>42</v>
      </c>
      <c r="E94" s="255"/>
      <c r="F94" s="143">
        <v>21</v>
      </c>
      <c r="G94" s="255"/>
      <c r="H94" s="143">
        <v>40</v>
      </c>
      <c r="I94" s="255"/>
      <c r="J94" s="143">
        <v>67</v>
      </c>
      <c r="K94" s="255"/>
      <c r="L94" s="143">
        <v>51</v>
      </c>
      <c r="M94" s="255"/>
    </row>
    <row r="95" spans="1:13" ht="15" customHeight="1" x14ac:dyDescent="0.2">
      <c r="A95" s="117"/>
      <c r="B95" s="105" t="s">
        <v>220</v>
      </c>
      <c r="C95" s="248"/>
      <c r="D95" s="189">
        <v>582</v>
      </c>
      <c r="E95" s="256"/>
      <c r="F95" s="189">
        <v>547</v>
      </c>
      <c r="G95" s="256"/>
      <c r="H95" s="189">
        <v>578</v>
      </c>
      <c r="I95" s="256"/>
      <c r="J95" s="189">
        <v>678</v>
      </c>
      <c r="K95" s="256"/>
      <c r="L95" s="189">
        <v>812</v>
      </c>
      <c r="M95" s="256"/>
    </row>
    <row r="96" spans="1:13" ht="15" customHeight="1" x14ac:dyDescent="0.2">
      <c r="A96" s="117"/>
      <c r="B96" s="104"/>
      <c r="C96" s="234"/>
      <c r="D96" s="238"/>
      <c r="E96" s="257"/>
      <c r="F96" s="238"/>
      <c r="G96" s="257"/>
      <c r="H96" s="238"/>
      <c r="I96" s="257"/>
      <c r="J96" s="238"/>
      <c r="K96" s="257"/>
      <c r="L96" s="238"/>
      <c r="M96" s="257"/>
    </row>
    <row r="97" spans="1:13" ht="15" customHeight="1" x14ac:dyDescent="0.2">
      <c r="A97" s="117"/>
      <c r="B97" s="104"/>
      <c r="C97" s="106"/>
      <c r="D97" s="143" t="s">
        <v>171</v>
      </c>
      <c r="E97" s="143" t="s">
        <v>172</v>
      </c>
      <c r="F97" s="143" t="s">
        <v>171</v>
      </c>
      <c r="G97" s="143" t="s">
        <v>172</v>
      </c>
      <c r="H97" s="143" t="s">
        <v>171</v>
      </c>
      <c r="I97" s="143" t="s">
        <v>172</v>
      </c>
      <c r="J97" s="143" t="s">
        <v>171</v>
      </c>
      <c r="K97" s="143" t="s">
        <v>172</v>
      </c>
      <c r="L97" s="143" t="s">
        <v>171</v>
      </c>
      <c r="M97" s="143" t="s">
        <v>172</v>
      </c>
    </row>
    <row r="98" spans="1:13" ht="15" customHeight="1" x14ac:dyDescent="0.2">
      <c r="A98" s="117" t="s">
        <v>202</v>
      </c>
      <c r="B98" s="104" t="s">
        <v>198</v>
      </c>
      <c r="C98" s="239"/>
      <c r="D98" s="371">
        <v>60</v>
      </c>
      <c r="E98" s="371">
        <v>51</v>
      </c>
      <c r="F98" s="371">
        <v>60</v>
      </c>
      <c r="G98" s="371">
        <v>51</v>
      </c>
      <c r="H98" s="371">
        <v>61</v>
      </c>
      <c r="I98" s="371">
        <v>52</v>
      </c>
      <c r="J98" s="371">
        <v>62</v>
      </c>
      <c r="K98" s="371">
        <v>52</v>
      </c>
      <c r="L98" s="371">
        <v>64</v>
      </c>
      <c r="M98" s="371">
        <v>52</v>
      </c>
    </row>
    <row r="99" spans="1:13" ht="15" customHeight="1" x14ac:dyDescent="0.2">
      <c r="A99" s="117" t="s">
        <v>203</v>
      </c>
      <c r="B99" s="104" t="s">
        <v>200</v>
      </c>
      <c r="C99" s="239"/>
      <c r="D99" s="371">
        <v>53</v>
      </c>
      <c r="E99" s="371">
        <v>56</v>
      </c>
      <c r="F99" s="371">
        <v>50</v>
      </c>
      <c r="G99" s="371">
        <v>54</v>
      </c>
      <c r="H99" s="371">
        <v>54</v>
      </c>
      <c r="I99" s="371">
        <v>53</v>
      </c>
      <c r="J99" s="371">
        <v>58</v>
      </c>
      <c r="K99" s="371">
        <v>53</v>
      </c>
      <c r="L99" s="371">
        <v>57</v>
      </c>
      <c r="M99" s="371">
        <v>53</v>
      </c>
    </row>
    <row r="100" spans="1:13" ht="17.25" customHeight="1" thickBot="1" x14ac:dyDescent="0.25">
      <c r="A100" s="118" t="s">
        <v>264</v>
      </c>
      <c r="B100" s="372" t="s">
        <v>220</v>
      </c>
      <c r="C100" s="376"/>
      <c r="D100" s="374">
        <v>60</v>
      </c>
      <c r="E100" s="374">
        <v>52</v>
      </c>
      <c r="F100" s="374">
        <v>59</v>
      </c>
      <c r="G100" s="374">
        <v>52</v>
      </c>
      <c r="H100" s="374">
        <v>60</v>
      </c>
      <c r="I100" s="374">
        <v>52</v>
      </c>
      <c r="J100" s="374">
        <v>62</v>
      </c>
      <c r="K100" s="374">
        <v>52</v>
      </c>
      <c r="L100" s="374">
        <v>64</v>
      </c>
      <c r="M100" s="374">
        <v>52</v>
      </c>
    </row>
    <row r="101" spans="1:13" ht="15.75" customHeight="1" x14ac:dyDescent="0.2">
      <c r="A101" s="103"/>
      <c r="C101" s="240"/>
      <c r="E101" s="282"/>
      <c r="K101" s="282" t="s">
        <v>208</v>
      </c>
    </row>
    <row r="102" spans="1:13" s="147" customFormat="1" ht="16.5" customHeight="1" x14ac:dyDescent="0.2">
      <c r="A102" s="98" t="s">
        <v>262</v>
      </c>
      <c r="B102" s="199"/>
      <c r="C102" s="99"/>
    </row>
    <row r="103" spans="1:13" s="147" customFormat="1" x14ac:dyDescent="0.2">
      <c r="A103" s="98" t="s">
        <v>334</v>
      </c>
      <c r="B103" s="199"/>
      <c r="C103" s="99"/>
    </row>
    <row r="104" spans="1:13" ht="12.75" customHeight="1" thickBot="1" x14ac:dyDescent="0.25"/>
    <row r="105" spans="1:13" s="241" customFormat="1" ht="15" customHeight="1" thickTop="1" x14ac:dyDescent="0.25">
      <c r="A105" s="128" t="s">
        <v>345</v>
      </c>
      <c r="B105" s="129"/>
      <c r="C105" s="129"/>
    </row>
    <row r="106" spans="1:13" ht="12.75" customHeight="1" thickBot="1" x14ac:dyDescent="0.25">
      <c r="A106" s="117"/>
      <c r="B106" s="245"/>
      <c r="C106" s="246"/>
    </row>
    <row r="107" spans="1:13" ht="16.5" customHeight="1" x14ac:dyDescent="0.2">
      <c r="A107" s="247"/>
      <c r="B107" s="242"/>
      <c r="C107" s="242"/>
      <c r="D107" s="421" t="s">
        <v>268</v>
      </c>
      <c r="E107" s="423"/>
      <c r="F107" s="421" t="s">
        <v>276</v>
      </c>
      <c r="G107" s="423"/>
      <c r="H107" s="421" t="s">
        <v>278</v>
      </c>
      <c r="I107" s="423"/>
      <c r="J107" s="421" t="s">
        <v>320</v>
      </c>
      <c r="K107" s="423"/>
      <c r="L107" s="421" t="s">
        <v>388</v>
      </c>
      <c r="M107" s="423"/>
    </row>
    <row r="108" spans="1:13" ht="15.75" customHeight="1" x14ac:dyDescent="0.2">
      <c r="A108" s="229"/>
      <c r="B108" s="230"/>
      <c r="C108" s="231"/>
      <c r="D108" s="231" t="s">
        <v>171</v>
      </c>
      <c r="E108" s="231"/>
      <c r="F108" s="231" t="s">
        <v>171</v>
      </c>
      <c r="G108" s="231"/>
      <c r="H108" s="231" t="s">
        <v>171</v>
      </c>
      <c r="I108" s="231"/>
      <c r="J108" s="231" t="s">
        <v>171</v>
      </c>
      <c r="K108" s="231"/>
      <c r="L108" s="231" t="s">
        <v>171</v>
      </c>
      <c r="M108" s="231"/>
    </row>
    <row r="109" spans="1:13" ht="15" customHeight="1" x14ac:dyDescent="0.2">
      <c r="A109" s="84" t="s">
        <v>197</v>
      </c>
      <c r="B109" s="102" t="s">
        <v>198</v>
      </c>
      <c r="C109" s="251"/>
      <c r="D109" s="143">
        <v>128</v>
      </c>
      <c r="E109" s="254"/>
      <c r="F109" s="143">
        <v>131</v>
      </c>
      <c r="G109" s="254"/>
      <c r="H109" s="143">
        <v>151</v>
      </c>
      <c r="I109" s="254"/>
      <c r="J109" s="143">
        <v>117</v>
      </c>
      <c r="K109" s="254"/>
      <c r="L109" s="143">
        <v>141</v>
      </c>
      <c r="M109" s="254"/>
    </row>
    <row r="110" spans="1:13" ht="15" customHeight="1" x14ac:dyDescent="0.2">
      <c r="A110" s="117" t="s">
        <v>199</v>
      </c>
      <c r="B110" s="104" t="s">
        <v>200</v>
      </c>
      <c r="C110" s="243"/>
      <c r="D110" s="143">
        <v>6</v>
      </c>
      <c r="E110" s="255"/>
      <c r="F110" s="143">
        <v>12</v>
      </c>
      <c r="G110" s="255"/>
      <c r="H110" s="143">
        <v>17</v>
      </c>
      <c r="I110" s="255"/>
      <c r="J110" s="143">
        <v>11</v>
      </c>
      <c r="K110" s="255"/>
      <c r="L110" s="143">
        <v>14</v>
      </c>
      <c r="M110" s="255"/>
    </row>
    <row r="111" spans="1:13" ht="15" customHeight="1" x14ac:dyDescent="0.2">
      <c r="A111" s="117"/>
      <c r="B111" s="105" t="s">
        <v>220</v>
      </c>
      <c r="C111" s="243"/>
      <c r="D111" s="236">
        <v>134</v>
      </c>
      <c r="E111" s="252"/>
      <c r="F111" s="236">
        <v>143</v>
      </c>
      <c r="G111" s="252"/>
      <c r="H111" s="236">
        <v>168</v>
      </c>
      <c r="I111" s="252"/>
      <c r="J111" s="236">
        <v>128</v>
      </c>
      <c r="K111" s="252"/>
      <c r="L111" s="236">
        <v>155</v>
      </c>
      <c r="M111" s="252"/>
    </row>
    <row r="112" spans="1:13" ht="15" customHeight="1" x14ac:dyDescent="0.2">
      <c r="A112" s="117"/>
      <c r="B112" s="104"/>
      <c r="C112" s="243"/>
      <c r="D112" s="143"/>
      <c r="E112" s="255"/>
      <c r="F112" s="143"/>
      <c r="G112" s="255"/>
      <c r="H112" s="143"/>
      <c r="I112" s="255"/>
      <c r="J112" s="143"/>
      <c r="K112" s="255"/>
      <c r="L112" s="143"/>
      <c r="M112" s="255"/>
    </row>
    <row r="113" spans="1:13" ht="15" customHeight="1" x14ac:dyDescent="0.2">
      <c r="A113" s="117" t="s">
        <v>197</v>
      </c>
      <c r="B113" s="104" t="s">
        <v>198</v>
      </c>
      <c r="C113" s="243"/>
      <c r="D113" s="143">
        <v>86</v>
      </c>
      <c r="E113" s="255"/>
      <c r="F113" s="143">
        <v>90</v>
      </c>
      <c r="G113" s="255"/>
      <c r="H113" s="143">
        <v>107</v>
      </c>
      <c r="I113" s="255"/>
      <c r="J113" s="143">
        <v>88</v>
      </c>
      <c r="K113" s="255"/>
      <c r="L113" s="143">
        <v>102</v>
      </c>
      <c r="M113" s="255"/>
    </row>
    <row r="114" spans="1:13" ht="15" customHeight="1" x14ac:dyDescent="0.2">
      <c r="A114" s="117" t="s">
        <v>201</v>
      </c>
      <c r="B114" s="104" t="s">
        <v>200</v>
      </c>
      <c r="C114" s="243"/>
      <c r="D114" s="143">
        <v>3</v>
      </c>
      <c r="E114" s="255"/>
      <c r="F114" s="143">
        <v>8</v>
      </c>
      <c r="G114" s="255"/>
      <c r="H114" s="143">
        <v>8</v>
      </c>
      <c r="I114" s="255"/>
      <c r="J114" s="143">
        <v>4</v>
      </c>
      <c r="K114" s="255"/>
      <c r="L114" s="143">
        <v>9</v>
      </c>
      <c r="M114" s="255"/>
    </row>
    <row r="115" spans="1:13" ht="15" customHeight="1" x14ac:dyDescent="0.2">
      <c r="A115" s="117"/>
      <c r="B115" s="105" t="s">
        <v>220</v>
      </c>
      <c r="C115" s="243"/>
      <c r="D115" s="189">
        <v>89</v>
      </c>
      <c r="E115" s="256"/>
      <c r="F115" s="189">
        <v>98</v>
      </c>
      <c r="G115" s="256"/>
      <c r="H115" s="189">
        <v>115</v>
      </c>
      <c r="I115" s="256"/>
      <c r="J115" s="189">
        <v>92</v>
      </c>
      <c r="K115" s="256"/>
      <c r="L115" s="189">
        <v>111</v>
      </c>
      <c r="M115" s="256"/>
    </row>
    <row r="116" spans="1:13" ht="15" customHeight="1" x14ac:dyDescent="0.2">
      <c r="A116" s="117"/>
      <c r="B116" s="104"/>
      <c r="C116" s="243"/>
      <c r="D116" s="238"/>
      <c r="E116" s="238"/>
      <c r="F116" s="238"/>
      <c r="G116" s="238"/>
      <c r="H116" s="238"/>
      <c r="I116" s="238"/>
      <c r="J116" s="238"/>
      <c r="K116" s="238"/>
      <c r="L116" s="238"/>
      <c r="M116" s="238"/>
    </row>
    <row r="117" spans="1:13" ht="15" customHeight="1" x14ac:dyDescent="0.2">
      <c r="A117" s="117"/>
      <c r="B117" s="104"/>
      <c r="C117" s="106"/>
      <c r="D117" s="143" t="s">
        <v>171</v>
      </c>
      <c r="E117" s="143" t="s">
        <v>172</v>
      </c>
      <c r="F117" s="143" t="s">
        <v>171</v>
      </c>
      <c r="G117" s="143" t="s">
        <v>172</v>
      </c>
      <c r="H117" s="143" t="s">
        <v>171</v>
      </c>
      <c r="I117" s="143" t="s">
        <v>172</v>
      </c>
      <c r="J117" s="143" t="s">
        <v>171</v>
      </c>
      <c r="K117" s="143" t="s">
        <v>172</v>
      </c>
      <c r="L117" s="143" t="s">
        <v>171</v>
      </c>
      <c r="M117" s="143" t="s">
        <v>172</v>
      </c>
    </row>
    <row r="118" spans="1:13" ht="15" customHeight="1" x14ac:dyDescent="0.2">
      <c r="A118" s="117" t="s">
        <v>202</v>
      </c>
      <c r="B118" s="104" t="s">
        <v>198</v>
      </c>
      <c r="C118" s="239"/>
      <c r="D118" s="371">
        <v>70</v>
      </c>
      <c r="E118" s="371">
        <v>51</v>
      </c>
      <c r="F118" s="371">
        <v>70</v>
      </c>
      <c r="G118" s="371">
        <v>52</v>
      </c>
      <c r="H118" s="371">
        <v>71</v>
      </c>
      <c r="I118" s="371">
        <v>52</v>
      </c>
      <c r="J118" s="371">
        <v>70.398481973434528</v>
      </c>
      <c r="K118" s="371">
        <v>51.588201928530907</v>
      </c>
      <c r="L118" s="371">
        <v>71.666666666666671</v>
      </c>
      <c r="M118" s="371">
        <v>52.372808892689179</v>
      </c>
    </row>
    <row r="119" spans="1:13" ht="15" customHeight="1" x14ac:dyDescent="0.2">
      <c r="A119" s="117" t="s">
        <v>203</v>
      </c>
      <c r="B119" s="104" t="s">
        <v>200</v>
      </c>
      <c r="C119" s="239"/>
      <c r="D119" s="371">
        <v>58</v>
      </c>
      <c r="E119" s="371">
        <v>59</v>
      </c>
      <c r="F119" s="371">
        <v>61</v>
      </c>
      <c r="G119" s="371">
        <v>61</v>
      </c>
      <c r="H119" s="371">
        <v>56</v>
      </c>
      <c r="I119" s="371">
        <v>62</v>
      </c>
      <c r="J119" s="371">
        <v>50</v>
      </c>
      <c r="K119" s="371">
        <v>61.734693877551017</v>
      </c>
      <c r="L119" s="371">
        <v>53.703703703703709</v>
      </c>
      <c r="M119" s="371">
        <v>61.107168204400288</v>
      </c>
    </row>
    <row r="120" spans="1:13" ht="17.25" customHeight="1" thickBot="1" x14ac:dyDescent="0.25">
      <c r="A120" s="118" t="s">
        <v>264</v>
      </c>
      <c r="B120" s="372" t="s">
        <v>220</v>
      </c>
      <c r="C120" s="376"/>
      <c r="D120" s="374">
        <v>69</v>
      </c>
      <c r="E120" s="374">
        <v>52</v>
      </c>
      <c r="F120" s="374">
        <v>70</v>
      </c>
      <c r="G120" s="374">
        <v>53</v>
      </c>
      <c r="H120" s="374">
        <v>70</v>
      </c>
      <c r="I120" s="374">
        <v>54</v>
      </c>
      <c r="J120" s="374">
        <v>68.760907504363004</v>
      </c>
      <c r="K120" s="374">
        <v>53</v>
      </c>
      <c r="L120" s="374">
        <v>70.033670033670035</v>
      </c>
      <c r="M120" s="374">
        <v>53.833372893425114</v>
      </c>
    </row>
    <row r="121" spans="1:13" ht="15.75" customHeight="1" x14ac:dyDescent="0.2">
      <c r="A121" s="103"/>
      <c r="C121" s="240"/>
      <c r="E121" s="282"/>
      <c r="K121" s="282" t="s">
        <v>208</v>
      </c>
    </row>
    <row r="122" spans="1:13" s="147" customFormat="1" ht="16.5" customHeight="1" x14ac:dyDescent="0.2">
      <c r="A122" s="98" t="s">
        <v>262</v>
      </c>
      <c r="B122" s="199"/>
      <c r="C122" s="99"/>
    </row>
    <row r="123" spans="1:13" s="147" customFormat="1" x14ac:dyDescent="0.2">
      <c r="A123" s="98" t="s">
        <v>334</v>
      </c>
      <c r="B123" s="199"/>
      <c r="C123" s="99"/>
    </row>
  </sheetData>
  <mergeCells count="30">
    <mergeCell ref="L67:M67"/>
    <mergeCell ref="D3:E3"/>
    <mergeCell ref="J3:K3"/>
    <mergeCell ref="H3:I3"/>
    <mergeCell ref="F3:G3"/>
    <mergeCell ref="L3:M3"/>
    <mergeCell ref="L23:M23"/>
    <mergeCell ref="L43:M43"/>
    <mergeCell ref="D23:E23"/>
    <mergeCell ref="F23:G23"/>
    <mergeCell ref="D87:E87"/>
    <mergeCell ref="F87:G87"/>
    <mergeCell ref="H87:I87"/>
    <mergeCell ref="J87:K87"/>
    <mergeCell ref="H23:I23"/>
    <mergeCell ref="J23:K23"/>
    <mergeCell ref="D43:E43"/>
    <mergeCell ref="F43:G43"/>
    <mergeCell ref="H43:I43"/>
    <mergeCell ref="J43:K43"/>
    <mergeCell ref="D67:E67"/>
    <mergeCell ref="F67:G67"/>
    <mergeCell ref="H67:I67"/>
    <mergeCell ref="J67:K67"/>
    <mergeCell ref="L87:M87"/>
    <mergeCell ref="D107:E107"/>
    <mergeCell ref="F107:G107"/>
    <mergeCell ref="H107:I107"/>
    <mergeCell ref="J107:K107"/>
    <mergeCell ref="L107:M107"/>
  </mergeCells>
  <phoneticPr fontId="0" type="noConversion"/>
  <pageMargins left="0.75" right="0.75" top="1" bottom="1" header="0.5" footer="0.5"/>
  <pageSetup paperSize="9" scale="28" orientation="landscape" r:id="rId1"/>
  <headerFooter alignWithMargins="0">
    <oddHeader>&amp;C&amp;"Arial,Bold"&amp;12Northern Ireland Road and Rail Transport Bulletin - January to March 2002</oddHeader>
    <oddFooter xml:space="preserve">&amp;R&amp;"Arial,Bold"20&amp;"Arial,Regular"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25" workbookViewId="0">
      <selection activeCell="A79" sqref="A79"/>
    </sheetView>
  </sheetViews>
  <sheetFormatPr defaultRowHeight="12.75" x14ac:dyDescent="0.2"/>
  <cols>
    <col min="1" max="1" width="9.140625" style="20"/>
    <col min="2" max="2" width="15" style="20" customWidth="1"/>
    <col min="3" max="3" width="16.42578125" style="20" customWidth="1"/>
    <col min="4" max="4" width="9.140625" style="20"/>
    <col min="5" max="5" width="10.28515625" style="20" customWidth="1"/>
    <col min="6" max="16384" width="9.140625" style="20"/>
  </cols>
  <sheetData>
    <row r="1" spans="1:10" ht="15.75" thickTop="1" x14ac:dyDescent="0.25">
      <c r="A1" s="128" t="s">
        <v>333</v>
      </c>
      <c r="B1" s="129"/>
      <c r="C1" s="389"/>
      <c r="D1" s="389"/>
      <c r="E1" s="390"/>
      <c r="F1" s="390"/>
      <c r="G1" s="390"/>
      <c r="H1" s="390"/>
      <c r="I1" s="390"/>
      <c r="J1" s="390"/>
    </row>
    <row r="2" spans="1:10" ht="16.5" thickBot="1" x14ac:dyDescent="0.3">
      <c r="A2" s="53"/>
      <c r="B2" s="54"/>
      <c r="C2" s="389"/>
      <c r="D2" s="389"/>
      <c r="E2" s="389"/>
      <c r="F2" s="389"/>
      <c r="G2" s="389"/>
      <c r="H2" s="389"/>
      <c r="I2" s="389"/>
      <c r="J2" s="389"/>
    </row>
    <row r="3" spans="1:10" x14ac:dyDescent="0.2">
      <c r="A3" s="101"/>
      <c r="B3" s="101"/>
      <c r="C3" s="424" t="s">
        <v>388</v>
      </c>
      <c r="D3" s="425"/>
      <c r="E3" s="389"/>
      <c r="F3" s="389"/>
      <c r="G3" s="389"/>
      <c r="H3" s="389"/>
      <c r="I3" s="389"/>
      <c r="J3" s="389"/>
    </row>
    <row r="4" spans="1:10" x14ac:dyDescent="0.2">
      <c r="A4" s="229"/>
      <c r="B4" s="274"/>
      <c r="C4" s="391"/>
      <c r="D4" s="391"/>
      <c r="E4" s="389"/>
      <c r="F4" s="389"/>
      <c r="G4" s="389"/>
      <c r="H4" s="389"/>
      <c r="I4" s="389"/>
      <c r="J4" s="389"/>
    </row>
    <row r="5" spans="1:10" ht="25.5" x14ac:dyDescent="0.2">
      <c r="A5" s="275"/>
      <c r="B5" s="276"/>
      <c r="C5" s="277" t="s">
        <v>206</v>
      </c>
      <c r="D5" s="277" t="s">
        <v>275</v>
      </c>
      <c r="E5" s="392"/>
      <c r="F5" s="392"/>
      <c r="G5" s="392"/>
      <c r="H5" s="392"/>
      <c r="I5" s="392"/>
      <c r="J5" s="392"/>
    </row>
    <row r="6" spans="1:10" x14ac:dyDescent="0.2">
      <c r="A6" s="117" t="s">
        <v>202</v>
      </c>
      <c r="B6" s="104" t="s">
        <v>198</v>
      </c>
      <c r="C6" s="279">
        <v>0.57999999999999996</v>
      </c>
      <c r="D6" s="279">
        <v>0.5</v>
      </c>
      <c r="E6" s="389"/>
      <c r="F6" s="389"/>
      <c r="G6" s="389"/>
      <c r="H6" s="389"/>
      <c r="I6" s="389"/>
      <c r="J6" s="389"/>
    </row>
    <row r="7" spans="1:10" x14ac:dyDescent="0.2">
      <c r="A7" s="117" t="s">
        <v>203</v>
      </c>
      <c r="B7" s="104" t="s">
        <v>200</v>
      </c>
      <c r="C7" s="279">
        <v>0.46</v>
      </c>
      <c r="D7" s="279">
        <v>0.44</v>
      </c>
      <c r="E7" s="389"/>
      <c r="F7" s="389"/>
      <c r="G7" s="389"/>
      <c r="H7" s="389"/>
      <c r="I7" s="389"/>
      <c r="J7" s="389"/>
    </row>
    <row r="8" spans="1:10" ht="15" thickBot="1" x14ac:dyDescent="0.25">
      <c r="A8" s="118" t="s">
        <v>264</v>
      </c>
      <c r="B8" s="107" t="s">
        <v>220</v>
      </c>
      <c r="C8" s="281">
        <v>0.51</v>
      </c>
      <c r="D8" s="280">
        <v>0.47</v>
      </c>
      <c r="E8" s="389"/>
      <c r="F8" s="389"/>
      <c r="G8" s="389"/>
      <c r="H8" s="389"/>
      <c r="I8" s="389"/>
      <c r="J8" s="389"/>
    </row>
    <row r="9" spans="1:10" x14ac:dyDescent="0.2">
      <c r="A9" s="103"/>
      <c r="B9" s="149"/>
      <c r="C9" s="389"/>
      <c r="D9" s="393" t="s">
        <v>208</v>
      </c>
      <c r="E9" s="389"/>
      <c r="F9" s="389"/>
      <c r="G9" s="389"/>
      <c r="H9" s="389"/>
      <c r="I9" s="389"/>
      <c r="J9" s="389"/>
    </row>
    <row r="10" spans="1:10" x14ac:dyDescent="0.2">
      <c r="A10" s="394" t="s">
        <v>262</v>
      </c>
      <c r="B10" s="395"/>
      <c r="C10" s="149"/>
      <c r="D10" s="149"/>
      <c r="E10" s="149"/>
      <c r="F10" s="149"/>
      <c r="G10" s="149"/>
      <c r="H10" s="149"/>
      <c r="I10" s="149"/>
      <c r="J10" s="149"/>
    </row>
    <row r="11" spans="1:10" x14ac:dyDescent="0.2">
      <c r="A11" s="394" t="s">
        <v>334</v>
      </c>
      <c r="B11" s="395"/>
      <c r="C11" s="149"/>
      <c r="D11" s="149"/>
      <c r="E11" s="149"/>
      <c r="F11" s="149"/>
      <c r="G11" s="149"/>
      <c r="H11" s="149"/>
      <c r="I11" s="149"/>
      <c r="J11" s="149"/>
    </row>
    <row r="40" spans="2:11" ht="13.5" thickBot="1" x14ac:dyDescent="0.25"/>
    <row r="41" spans="2:11" ht="15.75" thickTop="1" x14ac:dyDescent="0.25">
      <c r="B41" s="128" t="s">
        <v>335</v>
      </c>
      <c r="C41" s="129"/>
      <c r="D41" s="149"/>
      <c r="E41" s="149"/>
      <c r="F41" s="396"/>
      <c r="G41" s="396"/>
      <c r="H41" s="396"/>
      <c r="I41" s="396"/>
      <c r="J41" s="396"/>
      <c r="K41" s="396"/>
    </row>
    <row r="42" spans="2:11" ht="13.5" thickBot="1" x14ac:dyDescent="0.25">
      <c r="B42" s="108" t="s">
        <v>189</v>
      </c>
      <c r="C42" s="109"/>
      <c r="D42" s="149"/>
      <c r="E42" s="149"/>
      <c r="F42" s="149"/>
      <c r="G42" s="149"/>
      <c r="H42" s="149"/>
      <c r="I42" s="149"/>
      <c r="J42" s="149"/>
      <c r="K42" s="149"/>
    </row>
    <row r="43" spans="2:11" x14ac:dyDescent="0.2">
      <c r="B43" s="110"/>
      <c r="C43" s="397"/>
      <c r="D43" s="424" t="s">
        <v>388</v>
      </c>
      <c r="E43" s="425"/>
      <c r="F43" s="149"/>
      <c r="G43" s="149"/>
      <c r="H43" s="149"/>
      <c r="I43" s="149"/>
      <c r="J43" s="149"/>
      <c r="K43" s="149"/>
    </row>
    <row r="44" spans="2:11" x14ac:dyDescent="0.2">
      <c r="B44" s="229"/>
      <c r="C44" s="274"/>
      <c r="D44" s="391"/>
      <c r="E44" s="391"/>
      <c r="F44" s="149"/>
      <c r="G44" s="149"/>
      <c r="H44" s="149"/>
      <c r="I44" s="149"/>
      <c r="J44" s="149"/>
      <c r="K44" s="149"/>
    </row>
    <row r="45" spans="2:11" ht="25.5" x14ac:dyDescent="0.2">
      <c r="B45" s="278"/>
      <c r="C45" s="276"/>
      <c r="D45" s="277" t="s">
        <v>206</v>
      </c>
      <c r="E45" s="277" t="s">
        <v>275</v>
      </c>
      <c r="F45" s="392"/>
      <c r="G45" s="392"/>
      <c r="H45" s="392"/>
      <c r="I45" s="392"/>
      <c r="J45" s="392"/>
      <c r="K45" s="392"/>
    </row>
    <row r="46" spans="2:11" x14ac:dyDescent="0.2">
      <c r="B46" s="117" t="s">
        <v>202</v>
      </c>
      <c r="C46" s="104" t="s">
        <v>198</v>
      </c>
      <c r="D46" s="279">
        <v>0.61</v>
      </c>
      <c r="E46" s="279">
        <v>0.6</v>
      </c>
      <c r="F46" s="149"/>
      <c r="G46" s="149"/>
      <c r="H46" s="149"/>
      <c r="I46" s="149"/>
      <c r="J46" s="149"/>
      <c r="K46" s="149"/>
    </row>
    <row r="47" spans="2:11" x14ac:dyDescent="0.2">
      <c r="B47" s="117" t="s">
        <v>203</v>
      </c>
      <c r="C47" s="104" t="s">
        <v>200</v>
      </c>
      <c r="D47" s="279">
        <v>0.65</v>
      </c>
      <c r="E47" s="279">
        <v>0.66</v>
      </c>
      <c r="F47" s="149"/>
      <c r="G47" s="149"/>
      <c r="H47" s="149"/>
      <c r="I47" s="149"/>
      <c r="J47" s="149"/>
      <c r="K47" s="149"/>
    </row>
    <row r="48" spans="2:11" ht="15" thickBot="1" x14ac:dyDescent="0.25">
      <c r="B48" s="118" t="s">
        <v>264</v>
      </c>
      <c r="C48" s="107" t="s">
        <v>220</v>
      </c>
      <c r="D48" s="281">
        <v>0.63</v>
      </c>
      <c r="E48" s="280">
        <v>0.63</v>
      </c>
      <c r="F48" s="149"/>
      <c r="G48" s="149"/>
      <c r="H48" s="149"/>
      <c r="I48" s="149"/>
      <c r="J48" s="149"/>
      <c r="K48" s="149"/>
    </row>
    <row r="49" spans="2:11" x14ac:dyDescent="0.2">
      <c r="B49" s="103"/>
      <c r="C49" s="389"/>
      <c r="D49" s="149"/>
      <c r="E49" s="393" t="s">
        <v>208</v>
      </c>
      <c r="F49" s="149"/>
      <c r="G49" s="149"/>
      <c r="H49" s="149"/>
      <c r="I49" s="149"/>
      <c r="J49" s="149"/>
      <c r="K49" s="149"/>
    </row>
    <row r="50" spans="2:11" x14ac:dyDescent="0.2">
      <c r="B50" s="394" t="s">
        <v>262</v>
      </c>
      <c r="C50" s="395"/>
      <c r="D50" s="149"/>
      <c r="E50" s="149"/>
      <c r="F50" s="149"/>
      <c r="G50" s="149"/>
      <c r="H50" s="149"/>
      <c r="I50" s="149"/>
      <c r="J50" s="149"/>
      <c r="K50" s="149"/>
    </row>
    <row r="51" spans="2:11" x14ac:dyDescent="0.2">
      <c r="B51" s="394" t="s">
        <v>334</v>
      </c>
      <c r="C51" s="395"/>
      <c r="D51" s="149"/>
      <c r="E51" s="149"/>
      <c r="F51" s="149"/>
      <c r="G51" s="149"/>
      <c r="H51" s="149"/>
      <c r="I51" s="149"/>
      <c r="J51" s="149"/>
      <c r="K51" s="149"/>
    </row>
  </sheetData>
  <mergeCells count="2">
    <mergeCell ref="C3:D3"/>
    <mergeCell ref="D43:E43"/>
  </mergeCells>
  <phoneticPr fontId="44" type="noConversion"/>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workbookViewId="0"/>
  </sheetViews>
  <sheetFormatPr defaultRowHeight="12.75" x14ac:dyDescent="0.2"/>
  <cols>
    <col min="1" max="1" width="107" style="20" customWidth="1"/>
    <col min="2" max="2" width="32.140625" style="342" customWidth="1"/>
    <col min="3" max="16384" width="9.140625" style="20"/>
  </cols>
  <sheetData>
    <row r="1" spans="1:2" ht="18" x14ac:dyDescent="0.25">
      <c r="A1" s="341" t="s">
        <v>15</v>
      </c>
    </row>
    <row r="2" spans="1:2" ht="15" x14ac:dyDescent="0.2">
      <c r="A2" s="343"/>
    </row>
    <row r="3" spans="1:2" ht="15" x14ac:dyDescent="0.2">
      <c r="A3" s="344" t="s">
        <v>16</v>
      </c>
    </row>
    <row r="4" spans="1:2" ht="15" x14ac:dyDescent="0.2">
      <c r="A4" s="344" t="s">
        <v>309</v>
      </c>
      <c r="B4" s="344"/>
    </row>
    <row r="5" spans="1:2" ht="15" x14ac:dyDescent="0.2">
      <c r="A5" s="344" t="s">
        <v>308</v>
      </c>
      <c r="B5" s="344"/>
    </row>
    <row r="6" spans="1:2" ht="15" x14ac:dyDescent="0.2">
      <c r="A6" s="344" t="s">
        <v>306</v>
      </c>
      <c r="B6" s="344"/>
    </row>
    <row r="7" spans="1:2" ht="15" x14ac:dyDescent="0.2">
      <c r="A7" s="344" t="s">
        <v>307</v>
      </c>
      <c r="B7" s="344"/>
    </row>
    <row r="8" spans="1:2" ht="15" x14ac:dyDescent="0.2">
      <c r="A8" s="344"/>
      <c r="B8" s="344"/>
    </row>
    <row r="9" spans="1:2" ht="30" x14ac:dyDescent="0.2">
      <c r="A9" s="344" t="s">
        <v>17</v>
      </c>
    </row>
    <row r="10" spans="1:2" ht="15.75" x14ac:dyDescent="0.25">
      <c r="A10" s="345"/>
    </row>
    <row r="11" spans="1:2" ht="15.75" x14ac:dyDescent="0.25">
      <c r="A11" s="346" t="s">
        <v>18</v>
      </c>
    </row>
    <row r="12" spans="1:2" ht="60" x14ac:dyDescent="0.2">
      <c r="A12" s="347" t="s">
        <v>19</v>
      </c>
    </row>
    <row r="13" spans="1:2" ht="15" x14ac:dyDescent="0.2">
      <c r="A13" s="348"/>
    </row>
    <row r="14" spans="1:2" ht="15.75" x14ac:dyDescent="0.25">
      <c r="A14" s="349" t="s">
        <v>20</v>
      </c>
    </row>
    <row r="15" spans="1:2" ht="30" x14ac:dyDescent="0.2">
      <c r="A15" s="347" t="s">
        <v>21</v>
      </c>
    </row>
    <row r="16" spans="1:2" ht="15" x14ac:dyDescent="0.2">
      <c r="A16" s="343"/>
    </row>
    <row r="17" spans="1:1" ht="15.75" x14ac:dyDescent="0.25">
      <c r="A17" s="350" t="s">
        <v>22</v>
      </c>
    </row>
    <row r="18" spans="1:1" ht="60" x14ac:dyDescent="0.2">
      <c r="A18" s="347" t="s">
        <v>23</v>
      </c>
    </row>
    <row r="19" spans="1:1" ht="15" x14ac:dyDescent="0.2">
      <c r="A19" s="344"/>
    </row>
    <row r="20" spans="1:1" ht="15.75" x14ac:dyDescent="0.25">
      <c r="A20" s="350" t="s">
        <v>24</v>
      </c>
    </row>
    <row r="21" spans="1:1" ht="15" x14ac:dyDescent="0.2">
      <c r="A21" s="347" t="s">
        <v>326</v>
      </c>
    </row>
    <row r="22" spans="1:1" ht="15" x14ac:dyDescent="0.2">
      <c r="A22" s="347" t="s">
        <v>327</v>
      </c>
    </row>
    <row r="23" spans="1:1" ht="15" x14ac:dyDescent="0.2">
      <c r="A23" s="347"/>
    </row>
    <row r="24" spans="1:1" ht="15" x14ac:dyDescent="0.2">
      <c r="A24" s="347" t="s">
        <v>328</v>
      </c>
    </row>
    <row r="25" spans="1:1" ht="15" x14ac:dyDescent="0.2">
      <c r="A25" s="347" t="s">
        <v>329</v>
      </c>
    </row>
    <row r="26" spans="1:1" ht="15" x14ac:dyDescent="0.2">
      <c r="A26" s="347" t="s">
        <v>330</v>
      </c>
    </row>
    <row r="27" spans="1:1" ht="15" x14ac:dyDescent="0.2">
      <c r="A27" s="347" t="s">
        <v>331</v>
      </c>
    </row>
    <row r="28" spans="1:1" ht="15" x14ac:dyDescent="0.2">
      <c r="A28" s="347" t="s">
        <v>332</v>
      </c>
    </row>
    <row r="29" spans="1:1" ht="15" x14ac:dyDescent="0.2">
      <c r="A29" s="347"/>
    </row>
    <row r="30" spans="1:1" ht="15" x14ac:dyDescent="0.2">
      <c r="A30" s="347" t="s">
        <v>346</v>
      </c>
    </row>
    <row r="31" spans="1:1" ht="15" x14ac:dyDescent="0.2">
      <c r="A31" s="347" t="s">
        <v>347</v>
      </c>
    </row>
    <row r="32" spans="1:1" ht="15" x14ac:dyDescent="0.2">
      <c r="A32" s="347" t="s">
        <v>348</v>
      </c>
    </row>
    <row r="33" spans="1:1" ht="15" x14ac:dyDescent="0.2">
      <c r="A33" s="347"/>
    </row>
    <row r="34" spans="1:1" ht="15" x14ac:dyDescent="0.2">
      <c r="A34" s="344"/>
    </row>
    <row r="35" spans="1:1" ht="15.75" x14ac:dyDescent="0.25">
      <c r="A35" s="350" t="s">
        <v>25</v>
      </c>
    </row>
    <row r="36" spans="1:1" ht="135" x14ac:dyDescent="0.2">
      <c r="A36" s="347" t="s">
        <v>26</v>
      </c>
    </row>
    <row r="37" spans="1:1" ht="15.75" x14ac:dyDescent="0.25">
      <c r="A37" s="351"/>
    </row>
    <row r="38" spans="1:1" ht="15.75" x14ac:dyDescent="0.25">
      <c r="A38" s="350" t="s">
        <v>29</v>
      </c>
    </row>
    <row r="39" spans="1:1" ht="90" x14ac:dyDescent="0.2">
      <c r="A39" s="347" t="s">
        <v>441</v>
      </c>
    </row>
    <row r="40" spans="1:1" ht="15" x14ac:dyDescent="0.2">
      <c r="A40" s="344"/>
    </row>
    <row r="41" spans="1:1" ht="15.75" x14ac:dyDescent="0.25">
      <c r="A41" s="350" t="s">
        <v>30</v>
      </c>
    </row>
    <row r="42" spans="1:1" ht="15" x14ac:dyDescent="0.2">
      <c r="A42" s="347" t="s">
        <v>349</v>
      </c>
    </row>
    <row r="43" spans="1:1" ht="15.75" x14ac:dyDescent="0.25">
      <c r="A43" s="351"/>
    </row>
    <row r="44" spans="1:1" ht="15.75" x14ac:dyDescent="0.25">
      <c r="A44" s="350" t="s">
        <v>31</v>
      </c>
    </row>
    <row r="45" spans="1:1" ht="30" x14ac:dyDescent="0.2">
      <c r="A45" s="347" t="s">
        <v>32</v>
      </c>
    </row>
    <row r="46" spans="1:1" ht="15" x14ac:dyDescent="0.2">
      <c r="A46" s="344"/>
    </row>
    <row r="47" spans="1:1" ht="15.75" x14ac:dyDescent="0.25">
      <c r="A47" s="350" t="s">
        <v>33</v>
      </c>
    </row>
    <row r="48" spans="1:1" ht="120" x14ac:dyDescent="0.2">
      <c r="A48" s="347" t="s">
        <v>164</v>
      </c>
    </row>
    <row r="49" spans="1:1" ht="15" x14ac:dyDescent="0.2">
      <c r="A49" s="344"/>
    </row>
    <row r="50" spans="1:1" ht="15.75" x14ac:dyDescent="0.25">
      <c r="A50" s="350" t="s">
        <v>34</v>
      </c>
    </row>
    <row r="51" spans="1:1" ht="75" x14ac:dyDescent="0.2">
      <c r="A51" s="321" t="s">
        <v>35</v>
      </c>
    </row>
    <row r="52" spans="1:1" ht="15" x14ac:dyDescent="0.2">
      <c r="A52" s="316"/>
    </row>
    <row r="53" spans="1:1" ht="60" x14ac:dyDescent="0.2">
      <c r="A53" s="316" t="s">
        <v>36</v>
      </c>
    </row>
    <row r="54" spans="1:1" ht="15" x14ac:dyDescent="0.2">
      <c r="A54" s="344"/>
    </row>
    <row r="55" spans="1:1" ht="15" x14ac:dyDescent="0.2">
      <c r="A55" s="344"/>
    </row>
    <row r="56" spans="1:1" ht="15.75" x14ac:dyDescent="0.25">
      <c r="A56" s="351" t="s">
        <v>37</v>
      </c>
    </row>
    <row r="57" spans="1:1" ht="15.75" x14ac:dyDescent="0.25">
      <c r="A57" s="351" t="s">
        <v>38</v>
      </c>
    </row>
    <row r="58" spans="1:1" ht="15.75" x14ac:dyDescent="0.25">
      <c r="A58" s="351" t="s">
        <v>39</v>
      </c>
    </row>
    <row r="59" spans="1:1" ht="15.75" x14ac:dyDescent="0.25">
      <c r="A59" s="351" t="s">
        <v>40</v>
      </c>
    </row>
    <row r="60" spans="1:1" ht="15.75" x14ac:dyDescent="0.25">
      <c r="A60" s="351" t="s">
        <v>41</v>
      </c>
    </row>
    <row r="61" spans="1:1" ht="15.75" x14ac:dyDescent="0.25">
      <c r="A61" s="351" t="s">
        <v>42</v>
      </c>
    </row>
    <row r="62" spans="1:1" ht="15.75" x14ac:dyDescent="0.25">
      <c r="A62" s="352"/>
    </row>
    <row r="63" spans="1:1" ht="15" x14ac:dyDescent="0.2">
      <c r="A63" s="353" t="s">
        <v>43</v>
      </c>
    </row>
    <row r="64" spans="1:1" ht="15" x14ac:dyDescent="0.2">
      <c r="A64" s="354" t="s">
        <v>44</v>
      </c>
    </row>
    <row r="65" spans="1:1" ht="15" x14ac:dyDescent="0.2">
      <c r="A65" s="354" t="s">
        <v>45</v>
      </c>
    </row>
    <row r="66" spans="1:1" x14ac:dyDescent="0.2">
      <c r="A66" s="355" t="s">
        <v>46</v>
      </c>
    </row>
    <row r="67" spans="1:1" ht="15" x14ac:dyDescent="0.2">
      <c r="A67" s="354" t="s">
        <v>47</v>
      </c>
    </row>
    <row r="68" spans="1:1" ht="15" x14ac:dyDescent="0.2">
      <c r="A68" s="354" t="s">
        <v>48</v>
      </c>
    </row>
    <row r="69" spans="1:1" x14ac:dyDescent="0.2">
      <c r="A69" s="355" t="s">
        <v>49</v>
      </c>
    </row>
  </sheetData>
  <phoneticPr fontId="44" type="noConversion"/>
  <hyperlinks>
    <hyperlink ref="A66" r:id="rId1" display="mailto:CSRB@drdni.gov.uk"/>
    <hyperlink ref="A69" r:id="rId2" display="http://www.drdni.gov.uk/index/statistics.htm"/>
  </hyperlinks>
  <pageMargins left="0.75" right="0.75" top="1" bottom="1" header="0.5" footer="0.5"/>
  <pageSetup paperSize="9"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Title</vt:lpstr>
      <vt:lpstr>Contents</vt:lpstr>
      <vt:lpstr>User Information</vt:lpstr>
      <vt:lpstr>1.1</vt:lpstr>
      <vt:lpstr>1.2</vt:lpstr>
      <vt:lpstr>Figure 2.1 Vehicle Registration</vt:lpstr>
      <vt:lpstr>2.1</vt:lpstr>
      <vt:lpstr>2.2</vt:lpstr>
      <vt:lpstr>2.3</vt:lpstr>
      <vt:lpstr>3.1</vt:lpstr>
      <vt:lpstr>3.2</vt:lpstr>
      <vt:lpstr>4.1</vt:lpstr>
      <vt:lpstr>4.2</vt:lpstr>
      <vt:lpstr>5154</vt:lpstr>
      <vt:lpstr>Figure 5.1 Public Transport</vt:lpstr>
      <vt:lpstr>6.1</vt:lpstr>
      <vt:lpstr>7174</vt:lpstr>
      <vt:lpstr>8186</vt:lpstr>
      <vt:lpstr>Figs 8.1 &amp; 8.2 Driver Testing</vt:lpstr>
      <vt:lpstr>Technical Notes</vt:lpstr>
    </vt:vector>
  </TitlesOfParts>
  <Company>Department for Regional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Northern Ireland Road and Rail Transport Statistics July to September 2011</dc:title>
  <dc:subject>What are our priorities and how are we doing</dc:subject>
  <dc:creator>Central Statistics and Research Branch</dc:creator>
  <cp:keywords>DRD, NISRA, Public Transport, Ulsterbus, Metro, NIR, Passenger Journeys, Passenger Miles, Bus Miles, Receipts, Petrol , Diesel, DECC, Translink, Trains, Buses, Railway, vehicle registrations, car registrations, light goods registrations, heavy goods registrations, vehicle testing, MOT, driving tests</cp:keywords>
  <cp:lastModifiedBy>xlParse</cp:lastModifiedBy>
  <cp:lastPrinted>2011-03-29T15:25:33Z</cp:lastPrinted>
  <dcterms:created xsi:type="dcterms:W3CDTF">2001-05-01T15:27:01Z</dcterms:created>
  <dcterms:modified xsi:type="dcterms:W3CDTF">2017-10-20T16:07:39Z</dcterms:modified>
  <cp:category>Statistics produced in accordance with departmental requirements</cp:category>
</cp:coreProperties>
</file>